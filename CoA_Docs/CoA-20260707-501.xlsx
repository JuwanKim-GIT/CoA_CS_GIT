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mc:AlternateContent xmlns:mc="http://schemas.openxmlformats.org/markup-compatibility/2006">
    <mc:Choice Requires="x15">
      <x15ac:absPath xmlns:x15ac="http://schemas.microsoft.com/office/spreadsheetml/2010/11/ac" url="C:\CoA_CS_게시용\CoA_Docs\"/>
    </mc:Choice>
  </mc:AlternateContent>
  <xr:revisionPtr revIDLastSave="0" documentId="8_{FE3ABA3C-0D7F-4588-945E-7EE801D35709}" xr6:coauthVersionLast="47" xr6:coauthVersionMax="47" xr10:uidLastSave="{00000000-0000-0000-0000-000000000000}"/>
  <bookViews>
    <workbookView xWindow="0" yWindow="2490" windowWidth="29010" windowHeight="9030" activeTab="4" xr2:uid="{00000000-000D-0000-FFFF-FFFF00000000}"/>
  </bookViews>
  <sheets>
    <sheet name="CoA-20260707-501-001" sheetId="7" r:id="rId1"/>
    <sheet name="CoA-20260707-501-002" sheetId="10" r:id="rId2"/>
    <sheet name="CoA-20260707-501-003" sheetId="11" r:id="rId3"/>
    <sheet name="CoA-20260707-501-004" sheetId="12" r:id="rId4"/>
    <sheet name="CoA-20260707-501-005" sheetId="1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3" i="13" l="1"/>
  <c r="O33" i="12"/>
  <c r="O33" i="11"/>
  <c r="O33" i="10"/>
  <c r="O33" i="7"/>
</calcChain>
</file>

<file path=xl/sharedStrings.xml><?xml version="1.0" encoding="utf-8"?>
<sst xmlns="http://schemas.openxmlformats.org/spreadsheetml/2006/main" count="295" uniqueCount="98">
  <si>
    <t>CERTIFICATE OF ANALYSIS</t>
  </si>
  <si>
    <t xml:space="preserve">Product: </t>
    <phoneticPr fontId="3" type="noConversion"/>
  </si>
  <si>
    <t>Batch Number:</t>
    <phoneticPr fontId="3" type="noConversion"/>
  </si>
  <si>
    <t xml:space="preserve">Manufacturing Date: </t>
    <phoneticPr fontId="3" type="noConversion"/>
  </si>
  <si>
    <t xml:space="preserve">Customer: </t>
    <phoneticPr fontId="3" type="noConversion"/>
  </si>
  <si>
    <t xml:space="preserve">Delivery Number: </t>
    <phoneticPr fontId="3" type="noConversion"/>
  </si>
  <si>
    <t>Storage Condition: In the original unopened containers, protected from sunlight.</t>
  </si>
  <si>
    <t>BATCH TEST RESULTS</t>
  </si>
  <si>
    <t xml:space="preserve"> Method</t>
  </si>
  <si>
    <t>Tolerance</t>
  </si>
  <si>
    <t>Results</t>
  </si>
  <si>
    <t xml:space="preserve"> Unit</t>
  </si>
  <si>
    <t>Upper Limit</t>
  </si>
  <si>
    <t>Certified By: QC Department</t>
  </si>
  <si>
    <t>Issue Date:</t>
    <phoneticPr fontId="3" type="noConversion"/>
  </si>
  <si>
    <t xml:space="preserve">Product: </t>
    <phoneticPr fontId="3" type="noConversion"/>
  </si>
  <si>
    <t>Manufacturer: International Paint (Korea) Ltd.</t>
    <phoneticPr fontId="3" type="noConversion"/>
  </si>
  <si>
    <t xml:space="preserve">Product Description: </t>
    <phoneticPr fontId="3" type="noConversion"/>
  </si>
  <si>
    <t>City:  Haman-Gun</t>
    <phoneticPr fontId="3" type="noConversion"/>
  </si>
  <si>
    <t>Batch Details:</t>
    <phoneticPr fontId="3" type="noConversion"/>
  </si>
  <si>
    <t>Commercial Details:</t>
    <phoneticPr fontId="3" type="noConversion"/>
  </si>
  <si>
    <t>Batch Number:</t>
    <phoneticPr fontId="3" type="noConversion"/>
  </si>
  <si>
    <t>Color Code:</t>
    <phoneticPr fontId="3" type="noConversion"/>
  </si>
  <si>
    <t xml:space="preserve">Manufacturing Date: </t>
    <phoneticPr fontId="3" type="noConversion"/>
  </si>
  <si>
    <t xml:space="preserve">Customer: </t>
    <phoneticPr fontId="3" type="noConversion"/>
  </si>
  <si>
    <t xml:space="preserve">Expiration Date: </t>
    <phoneticPr fontId="3" type="noConversion"/>
  </si>
  <si>
    <t xml:space="preserve">Quantity          : </t>
    <phoneticPr fontId="3" type="noConversion"/>
  </si>
  <si>
    <t xml:space="preserve">Sales Order Number: </t>
    <phoneticPr fontId="3" type="noConversion"/>
  </si>
  <si>
    <t>Customer PO Number:</t>
    <phoneticPr fontId="3" type="noConversion"/>
  </si>
  <si>
    <t xml:space="preserve">Delivery Number: </t>
    <phoneticPr fontId="3" type="noConversion"/>
  </si>
  <si>
    <t>Characteristics</t>
    <phoneticPr fontId="3" type="noConversion"/>
  </si>
  <si>
    <t xml:space="preserve"> Lower Limit </t>
    <phoneticPr fontId="3" type="noConversion"/>
  </si>
  <si>
    <t>Issue Date:</t>
    <phoneticPr fontId="3" type="noConversion"/>
  </si>
  <si>
    <t>AkzoNobel certifies that the product mentioned above has been manufactured in accordance with the specification. The Quality Control results are copied from the relevant AkzoNobel quality management system. This certificate has been processed electronically.</t>
    <phoneticPr fontId="3" type="noConversion"/>
  </si>
  <si>
    <t xml:space="preserve"> Country: South Korea</t>
    <phoneticPr fontId="3" type="noConversion"/>
  </si>
  <si>
    <t>Signature: Quality Manager</t>
    <phoneticPr fontId="3" type="noConversion"/>
  </si>
  <si>
    <t>CoA No :</t>
    <phoneticPr fontId="1" type="noConversion"/>
  </si>
  <si>
    <t>CoA-20260707-501-001</t>
  </si>
  <si>
    <t>tttt</t>
  </si>
  <si>
    <t>Project No       :</t>
    <phoneticPr fontId="3" type="noConversion"/>
  </si>
  <si>
    <t>QS11123</t>
  </si>
  <si>
    <t>INTERTHANE 990 PHX61M/15L/KC AUTUMN GREY PART A</t>
  </si>
  <si>
    <t>KK56089071</t>
  </si>
  <si>
    <t>09.06.2026</t>
  </si>
  <si>
    <t>07.06.2028</t>
  </si>
  <si>
    <t>12.85LT X 2EA = 25.70LT</t>
  </si>
  <si>
    <t>FS16440</t>
  </si>
  <si>
    <t>Total Solid % by weight</t>
  </si>
  <si>
    <t>ASTM D2832</t>
  </si>
  <si>
    <t>%</t>
  </si>
  <si>
    <t>Viscosity (Cone &amp; Plate)</t>
  </si>
  <si>
    <t>ISO 2884-1</t>
  </si>
  <si>
    <t>Poise</t>
  </si>
  <si>
    <t>Specific Gravity (Pressure Cup)</t>
  </si>
  <si>
    <t>ISO 2811</t>
  </si>
  <si>
    <t>g/cm3</t>
  </si>
  <si>
    <t>Drying Time (Touch Dry)</t>
  </si>
  <si>
    <t>ASTM D1640</t>
  </si>
  <si>
    <t>Hours</t>
  </si>
  <si>
    <t>Drying Time (Hard Dry)</t>
  </si>
  <si>
    <t>Fineness of Grind</t>
  </si>
  <si>
    <t>ASTM D1210</t>
  </si>
  <si>
    <t>μM</t>
  </si>
  <si>
    <t>Pot-Life @ 25ºC</t>
  </si>
  <si>
    <t>ISO 9514</t>
  </si>
  <si>
    <t>Sag Resistance (Sag Testers @ 25ºC)</t>
  </si>
  <si>
    <t>ISO 16862</t>
  </si>
  <si>
    <t>CoA-20260707-501-002</t>
    <phoneticPr fontId="1" type="noConversion"/>
  </si>
  <si>
    <t>tttt</t>
    <phoneticPr fontId="1" type="noConversion"/>
  </si>
  <si>
    <t>QS11123</t>
    <phoneticPr fontId="1" type="noConversion"/>
  </si>
  <si>
    <t>INTERTHANE 990 PHX61M/15L/KC AUTUMN GREY PART A</t>
    <phoneticPr fontId="1" type="noConversion"/>
  </si>
  <si>
    <t>KK56089071</t>
    <phoneticPr fontId="1" type="noConversion"/>
  </si>
  <si>
    <t>09.06.2026</t>
    <phoneticPr fontId="1" type="noConversion"/>
  </si>
  <si>
    <t>07.06.2028</t>
    <phoneticPr fontId="1" type="noConversion"/>
  </si>
  <si>
    <t>12.85LT X 2EA = 25.70LT</t>
    <phoneticPr fontId="1" type="noConversion"/>
  </si>
  <si>
    <t>FEDERAL 16440</t>
    <phoneticPr fontId="1" type="noConversion"/>
  </si>
  <si>
    <t>CoA-20260707-501-003</t>
    <phoneticPr fontId="1" type="noConversion"/>
  </si>
  <si>
    <t>QS11124</t>
    <phoneticPr fontId="1" type="noConversion"/>
  </si>
  <si>
    <t>INTERTHANE 990 PHA046/2.15L/KC PART B</t>
    <phoneticPr fontId="1" type="noConversion"/>
  </si>
  <si>
    <t>KK56075025</t>
    <phoneticPr fontId="1" type="noConversion"/>
  </si>
  <si>
    <t>25.03.2026</t>
    <phoneticPr fontId="1" type="noConversion"/>
  </si>
  <si>
    <t>15.09.2027</t>
    <phoneticPr fontId="1" type="noConversion"/>
  </si>
  <si>
    <t>2.15LT X 1EA = 2.15LT</t>
    <phoneticPr fontId="1" type="noConversion"/>
  </si>
  <si>
    <t>CoA-20260707-501-004</t>
    <phoneticPr fontId="1" type="noConversion"/>
  </si>
  <si>
    <t>INTERTHANE 990 PHX61M/2.15L/KC AUTUMN GREY PART A</t>
    <phoneticPr fontId="1" type="noConversion"/>
  </si>
  <si>
    <t>KK56138022</t>
    <phoneticPr fontId="1" type="noConversion"/>
  </si>
  <si>
    <t>26.05.2026</t>
    <phoneticPr fontId="1" type="noConversion"/>
  </si>
  <si>
    <t>16.11.2027</t>
    <phoneticPr fontId="1" type="noConversion"/>
  </si>
  <si>
    <t>CoA-20260707-501-005</t>
    <phoneticPr fontId="1" type="noConversion"/>
  </si>
  <si>
    <t>INTERTHANE 990 PHJ684/15L/KC GREY PART A</t>
    <phoneticPr fontId="1" type="noConversion"/>
  </si>
  <si>
    <t>KK56119009</t>
    <phoneticPr fontId="1" type="noConversion"/>
  </si>
  <si>
    <t>07.05.2026</t>
    <phoneticPr fontId="1" type="noConversion"/>
  </si>
  <si>
    <t>05.05.2028</t>
    <phoneticPr fontId="1" type="noConversion"/>
  </si>
  <si>
    <t>12.85LT X 1EA = 12.85LT</t>
    <phoneticPr fontId="1" type="noConversion"/>
  </si>
  <si>
    <t>N6.5</t>
    <phoneticPr fontId="1" type="noConversion"/>
  </si>
  <si>
    <t>Colour Matching Visual Assessment</t>
  </si>
  <si>
    <t>ISO 3668</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</si>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</sst>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dd\.mm\.yyyy"/>
  </numFmts>
  <fonts count="12" x14ac:knownFonts="1">
    <font>
      <sz val="11"/>
      <name val="돋움"/>
      <family val="3"/>
      <charset val="129"/>
    </font>
    <font>
      <sz val="8"/>
      <name val="돋움"/>
      <family val="3"/>
      <charset val="129"/>
    </font>
    <font>
      <b/>
      <sz val="20"/>
      <color theme="1"/>
      <name val="Arial"/>
      <family val="2"/>
    </font>
    <font>
      <sz val="8"/>
      <name val="Arial"/>
      <family val="2"/>
      <charset val="129"/>
    </font>
    <font>
      <b/>
      <u/>
      <sz val="11"/>
      <color theme="1"/>
      <name val="Arial"/>
      <family val="2"/>
    </font>
    <font>
      <b/>
      <sz val="10"/>
      <color theme="1"/>
      <name val="Arial"/>
      <family val="2"/>
    </font>
    <font>
      <sz val="11"/>
      <color theme="1"/>
      <name val="Arial"/>
      <family val="2"/>
    </font>
    <font>
      <sz val="10"/>
      <color theme="1"/>
      <name val="Arial"/>
      <family val="2"/>
    </font>
    <font>
      <sz val="8"/>
      <color theme="1"/>
      <name val="Arial"/>
      <family val="2"/>
    </font>
    <font>
      <sz val="8"/>
      <color theme="1"/>
      <name val="Arial"/>
      <family val="2"/>
      <charset val="129"/>
    </font>
    <font>
      <sz val="8.5"/>
      <color theme="1"/>
      <name val="Arial"/>
      <family val="2"/>
    </font>
    <font>
      <sz val="10"/>
      <color theme="1"/>
      <name val="Arial"/>
      <family val="2"/>
      <charset val="129"/>
    </font>
  </fonts>
  <fills count="2">
    <fill>
      <patternFill patternType="none"/>
    </fill>
    <fill>
      <patternFill patternType="gray125"/>
    </fill>
  </fills>
  <borders count="10">
    <border>
      <left/>
      <right/>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s>
  <cellStyleXfs count="2">
    <xf numFmtId="0" fontId="0" fillId="0" borderId="0"/>
    <xf numFmtId="0" fontId="11" fillId="0" borderId="0">
      <alignment vertical="center"/>
    </xf>
  </cellStyleXfs>
  <cellXfs count="38">
    <xf numFmtId="0" fontId="0" fillId="0" borderId="0" xfId="0"/>
    <xf numFmtId="0" fontId="11" fillId="0" borderId="0" xfId="1">
      <alignment vertical="center"/>
    </xf>
    <xf numFmtId="0" fontId="8" fillId="0" borderId="0" xfId="1" applyFont="1">
      <alignment vertical="center"/>
    </xf>
    <xf numFmtId="0" fontId="4" fillId="0" borderId="0" xfId="1" applyFont="1">
      <alignment vertical="center"/>
    </xf>
    <xf numFmtId="0" fontId="11" fillId="0" borderId="0" xfId="1" applyAlignment="1">
      <alignment horizontal="left" vertical="center"/>
    </xf>
    <xf numFmtId="0" fontId="8" fillId="0" borderId="0" xfId="1" applyFont="1" applyAlignment="1">
      <alignment horizontal="left" vertical="center"/>
    </xf>
    <xf numFmtId="0" fontId="5" fillId="0" borderId="5" xfId="1" applyFont="1" applyBorder="1" applyAlignment="1">
      <alignment horizontal="left"/>
    </xf>
    <xf numFmtId="0" fontId="5" fillId="0" borderId="5" xfId="1" applyFont="1" applyBorder="1" applyAlignment="1"/>
    <xf numFmtId="0" fontId="7" fillId="0" borderId="5" xfId="1" applyFont="1" applyBorder="1" applyAlignment="1">
      <alignment horizontal="center"/>
    </xf>
    <xf numFmtId="0" fontId="5" fillId="0" borderId="5" xfId="1" applyFont="1" applyBorder="1" applyAlignment="1">
      <alignment horizontal="center"/>
    </xf>
    <xf numFmtId="0" fontId="6" fillId="0" borderId="0" xfId="1" applyFont="1">
      <alignment vertical="center"/>
    </xf>
    <xf numFmtId="0" fontId="5" fillId="0" borderId="8" xfId="1" applyFont="1" applyBorder="1" applyAlignment="1">
      <alignment horizontal="left" vertical="center"/>
    </xf>
    <xf numFmtId="0" fontId="5" fillId="0" borderId="8" xfId="1" applyFont="1" applyBorder="1">
      <alignment vertical="center"/>
    </xf>
    <xf numFmtId="0" fontId="5" fillId="0" borderId="8" xfId="1" applyFont="1" applyBorder="1" applyAlignment="1">
      <alignment horizontal="center" vertical="center"/>
    </xf>
    <xf numFmtId="0" fontId="8" fillId="0" borderId="0" xfId="1" applyFont="1" applyAlignment="1">
      <alignment horizontal="center" vertical="center"/>
    </xf>
    <xf numFmtId="0" fontId="8" fillId="0" borderId="0" xfId="1" quotePrefix="1" applyFont="1" applyAlignment="1">
      <alignment horizontal="center" vertical="center"/>
    </xf>
    <xf numFmtId="0" fontId="9" fillId="0" borderId="0" xfId="1" applyFont="1" applyAlignment="1">
      <alignment horizontal="left" vertical="center"/>
    </xf>
    <xf numFmtId="15" fontId="8" fillId="0" borderId="0" xfId="1" applyNumberFormat="1" applyFont="1" applyAlignment="1">
      <alignment horizontal="center" vertical="center"/>
    </xf>
    <xf numFmtId="0" fontId="9" fillId="0" borderId="0" xfId="1" applyFont="1">
      <alignment vertical="center"/>
    </xf>
    <xf numFmtId="176" fontId="8" fillId="0" borderId="0" xfId="1" applyNumberFormat="1" applyFont="1" applyAlignment="1">
      <alignment horizontal="left" vertical="center"/>
    </xf>
    <xf numFmtId="0" fontId="8" fillId="0" borderId="0" xfId="1" applyFont="1" applyAlignment="1">
      <alignment horizontal="left" vertical="top" wrapText="1"/>
    </xf>
    <xf numFmtId="0" fontId="2" fillId="0" borderId="0" xfId="1" applyFont="1" applyAlignment="1">
      <alignment horizontal="center" vertical="center"/>
    </xf>
    <xf numFmtId="0" fontId="8" fillId="0" borderId="0" xfId="1" applyFont="1" applyAlignment="1">
      <alignment horizontal="left" vertical="center"/>
    </xf>
    <xf numFmtId="0" fontId="8" fillId="0" borderId="0" xfId="1" applyFont="1" applyAlignment="1">
      <alignment horizontal="center" vertical="center"/>
    </xf>
    <xf numFmtId="0" fontId="5" fillId="0" borderId="1" xfId="1" applyFont="1" applyBorder="1" applyAlignment="1">
      <alignment horizontal="center" vertical="center"/>
    </xf>
    <xf numFmtId="0" fontId="5" fillId="0" borderId="2" xfId="1" applyFont="1" applyBorder="1" applyAlignment="1">
      <alignment horizontal="center" vertical="center"/>
    </xf>
    <xf numFmtId="0" fontId="5" fillId="0" borderId="3" xfId="1" applyFont="1" applyBorder="1" applyAlignment="1">
      <alignment horizontal="center" vertical="center"/>
    </xf>
    <xf numFmtId="0" fontId="5" fillId="0" borderId="4" xfId="1" applyFont="1" applyBorder="1" applyAlignment="1">
      <alignment horizontal="left" vertical="center"/>
    </xf>
    <xf numFmtId="0" fontId="5" fillId="0" borderId="5" xfId="1" applyFont="1" applyBorder="1" applyAlignment="1">
      <alignment horizontal="left" vertical="center"/>
    </xf>
    <xf numFmtId="0" fontId="5" fillId="0" borderId="7" xfId="1" applyFont="1" applyBorder="1" applyAlignment="1">
      <alignment horizontal="left" vertical="center"/>
    </xf>
    <xf numFmtId="0" fontId="5" fillId="0" borderId="8" xfId="1" applyFont="1" applyBorder="1" applyAlignment="1">
      <alignment horizontal="left" vertical="center"/>
    </xf>
    <xf numFmtId="0" fontId="5" fillId="0" borderId="5" xfId="1" applyFont="1" applyBorder="1" applyAlignment="1">
      <alignment horizontal="center" vertical="center"/>
    </xf>
    <xf numFmtId="0" fontId="5" fillId="0" borderId="8" xfId="1" applyFont="1" applyBorder="1" applyAlignment="1">
      <alignment horizontal="center" vertical="center"/>
    </xf>
    <xf numFmtId="0" fontId="5" fillId="0" borderId="6" xfId="1" applyFont="1" applyBorder="1" applyAlignment="1">
      <alignment horizontal="left" vertical="center"/>
    </xf>
    <xf numFmtId="0" fontId="5" fillId="0" borderId="9" xfId="1" applyFont="1" applyBorder="1" applyAlignment="1">
      <alignment horizontal="left" vertical="center"/>
    </xf>
    <xf numFmtId="0" fontId="10" fillId="0" borderId="1" xfId="1" applyFont="1" applyBorder="1" applyAlignment="1">
      <alignment horizontal="left" vertical="center" wrapText="1"/>
    </xf>
    <xf numFmtId="0" fontId="10" fillId="0" borderId="2" xfId="1" applyFont="1" applyBorder="1" applyAlignment="1">
      <alignment horizontal="left" vertical="center" wrapText="1"/>
    </xf>
    <xf numFmtId="0" fontId="10" fillId="0" borderId="3" xfId="1" applyFont="1" applyBorder="1" applyAlignment="1">
      <alignment horizontal="left" vertical="center" wrapText="1"/>
    </xf>
  </cellXfs>
  <cellStyles count="2">
    <cellStyle name="표준" xfId="0" builtinId="0"/>
    <cellStyle name="표준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20955</xdr:colOff>
      <xdr:row>31</xdr:row>
      <xdr:rowOff>171450</xdr:rowOff>
    </xdr:from>
    <xdr:to>
      <xdr:col>10</xdr:col>
      <xdr:colOff>211455</xdr:colOff>
      <xdr:row>32</xdr:row>
      <xdr:rowOff>217136</xdr:rowOff>
    </xdr:to>
    <xdr:pic>
      <xdr:nvPicPr>
        <xdr:cNvPr id="3" name="그림 2">
          <a:extLst>
            <a:ext uri="{FF2B5EF4-FFF2-40B4-BE49-F238E27FC236}">
              <a16:creationId xmlns:a16="http://schemas.microsoft.com/office/drawing/2014/main" id="{CACBBB59-6825-B288-C453-DF2A3F66D501}"/>
            </a:ext>
          </a:extLst>
        </xdr:cNvPr>
        <xdr:cNvPicPr>
          <a:picLocks noChangeAspect="1"/>
        </xdr:cNvPicPr>
      </xdr:nvPicPr>
      <xdr:blipFill>
        <a:blip xmlns:r="http://schemas.openxmlformats.org/officeDocument/2006/relationships" r:embed="rId1"/>
        <a:stretch>
          <a:fillRect/>
        </a:stretch>
      </xdr:blipFill>
      <xdr:spPr>
        <a:xfrm>
          <a:off x="4354830" y="6353175"/>
          <a:ext cx="933450" cy="236186"/>
        </a:xfrm>
        <a:prstGeom prst="rect">
          <a:avLst/>
        </a:prstGeom>
      </xdr:spPr>
    </xdr:pic>
    <xdr:clientData/>
  </xdr:twoCellAnchor>
  <xdr:twoCellAnchor editAs="oneCell">
    <xdr:from>
      <xdr:col>10</xdr:col>
      <xdr:colOff>594360</xdr:colOff>
      <xdr:row>0</xdr:row>
      <xdr:rowOff>175260</xdr:rowOff>
    </xdr:from>
    <xdr:to>
      <xdr:col>14</xdr:col>
      <xdr:colOff>583262</xdr:colOff>
      <xdr:row>1</xdr:row>
      <xdr:rowOff>369652</xdr:rowOff>
    </xdr:to>
    <xdr:pic>
      <xdr:nvPicPr>
        <xdr:cNvPr id="4" name="그림 3">
          <a:extLst>
            <a:ext uri="{FF2B5EF4-FFF2-40B4-BE49-F238E27FC236}">
              <a16:creationId xmlns:a16="http://schemas.microsoft.com/office/drawing/2014/main" id="{BD9FE115-D7AC-898A-7103-7ECF47FF7B94}"/>
            </a:ext>
          </a:extLst>
        </xdr:cNvPr>
        <xdr:cNvPicPr>
          <a:picLocks noChangeAspect="1"/>
        </xdr:cNvPicPr>
      </xdr:nvPicPr>
      <xdr:blipFill>
        <a:blip xmlns:r="http://schemas.openxmlformats.org/officeDocument/2006/relationships" r:embed="rId2"/>
        <a:stretch>
          <a:fillRect/>
        </a:stretch>
      </xdr:blipFill>
      <xdr:spPr>
        <a:xfrm>
          <a:off x="5669280" y="175260"/>
          <a:ext cx="2381582" cy="5906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20955</xdr:colOff>
      <xdr:row>31</xdr:row>
      <xdr:rowOff>171450</xdr:rowOff>
    </xdr:from>
    <xdr:to>
      <xdr:col>10</xdr:col>
      <xdr:colOff>211455</xdr:colOff>
      <xdr:row>32</xdr:row>
      <xdr:rowOff>217136</xdr:rowOff>
    </xdr:to>
    <xdr:pic>
      <xdr:nvPicPr>
        <xdr:cNvPr id="2" name="그림 1">
          <a:extLst>
            <a:ext uri="{FF2B5EF4-FFF2-40B4-BE49-F238E27FC236}">
              <a16:creationId xmlns:a16="http://schemas.microsoft.com/office/drawing/2014/main" id="{60FBD6DB-24B5-40A8-8D26-8F842B24FD5B}"/>
            </a:ext>
          </a:extLst>
        </xdr:cNvPr>
        <xdr:cNvPicPr>
          <a:picLocks noChangeAspect="1"/>
        </xdr:cNvPicPr>
      </xdr:nvPicPr>
      <xdr:blipFill>
        <a:blip xmlns:r="http://schemas.openxmlformats.org/officeDocument/2006/relationships" r:embed="rId1"/>
        <a:stretch>
          <a:fillRect/>
        </a:stretch>
      </xdr:blipFill>
      <xdr:spPr>
        <a:xfrm>
          <a:off x="4897755" y="6467475"/>
          <a:ext cx="1028700" cy="236186"/>
        </a:xfrm>
        <a:prstGeom prst="rect">
          <a:avLst/>
        </a:prstGeom>
      </xdr:spPr>
    </xdr:pic>
    <xdr:clientData/>
  </xdr:twoCellAnchor>
  <xdr:twoCellAnchor editAs="oneCell">
    <xdr:from>
      <xdr:col>10</xdr:col>
      <xdr:colOff>594360</xdr:colOff>
      <xdr:row>0</xdr:row>
      <xdr:rowOff>175260</xdr:rowOff>
    </xdr:from>
    <xdr:to>
      <xdr:col>14</xdr:col>
      <xdr:colOff>583262</xdr:colOff>
      <xdr:row>1</xdr:row>
      <xdr:rowOff>369652</xdr:rowOff>
    </xdr:to>
    <xdr:pic>
      <xdr:nvPicPr>
        <xdr:cNvPr id="3" name="그림 2">
          <a:extLst>
            <a:ext uri="{FF2B5EF4-FFF2-40B4-BE49-F238E27FC236}">
              <a16:creationId xmlns:a16="http://schemas.microsoft.com/office/drawing/2014/main" id="{FA56E0B5-5563-49D8-8A8C-6A90DECA3DCE}"/>
            </a:ext>
          </a:extLst>
        </xdr:cNvPr>
        <xdr:cNvPicPr>
          <a:picLocks noChangeAspect="1"/>
        </xdr:cNvPicPr>
      </xdr:nvPicPr>
      <xdr:blipFill>
        <a:blip xmlns:r="http://schemas.openxmlformats.org/officeDocument/2006/relationships" r:embed="rId2"/>
        <a:stretch>
          <a:fillRect/>
        </a:stretch>
      </xdr:blipFill>
      <xdr:spPr>
        <a:xfrm>
          <a:off x="6309360" y="175260"/>
          <a:ext cx="2684477" cy="5944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20955</xdr:colOff>
      <xdr:row>31</xdr:row>
      <xdr:rowOff>171450</xdr:rowOff>
    </xdr:from>
    <xdr:to>
      <xdr:col>10</xdr:col>
      <xdr:colOff>211455</xdr:colOff>
      <xdr:row>32</xdr:row>
      <xdr:rowOff>217136</xdr:rowOff>
    </xdr:to>
    <xdr:pic>
      <xdr:nvPicPr>
        <xdr:cNvPr id="2" name="그림 1">
          <a:extLst>
            <a:ext uri="{FF2B5EF4-FFF2-40B4-BE49-F238E27FC236}">
              <a16:creationId xmlns:a16="http://schemas.microsoft.com/office/drawing/2014/main" id="{7FD4F029-DE00-401A-B575-9EF8A083E75B}"/>
            </a:ext>
          </a:extLst>
        </xdr:cNvPr>
        <xdr:cNvPicPr>
          <a:picLocks noChangeAspect="1"/>
        </xdr:cNvPicPr>
      </xdr:nvPicPr>
      <xdr:blipFill>
        <a:blip xmlns:r="http://schemas.openxmlformats.org/officeDocument/2006/relationships" r:embed="rId1"/>
        <a:stretch>
          <a:fillRect/>
        </a:stretch>
      </xdr:blipFill>
      <xdr:spPr>
        <a:xfrm>
          <a:off x="4897755" y="6467475"/>
          <a:ext cx="1028700" cy="236186"/>
        </a:xfrm>
        <a:prstGeom prst="rect">
          <a:avLst/>
        </a:prstGeom>
      </xdr:spPr>
    </xdr:pic>
    <xdr:clientData/>
  </xdr:twoCellAnchor>
  <xdr:twoCellAnchor editAs="oneCell">
    <xdr:from>
      <xdr:col>10</xdr:col>
      <xdr:colOff>594360</xdr:colOff>
      <xdr:row>0</xdr:row>
      <xdr:rowOff>175260</xdr:rowOff>
    </xdr:from>
    <xdr:to>
      <xdr:col>14</xdr:col>
      <xdr:colOff>583262</xdr:colOff>
      <xdr:row>1</xdr:row>
      <xdr:rowOff>369652</xdr:rowOff>
    </xdr:to>
    <xdr:pic>
      <xdr:nvPicPr>
        <xdr:cNvPr id="3" name="그림 2">
          <a:extLst>
            <a:ext uri="{FF2B5EF4-FFF2-40B4-BE49-F238E27FC236}">
              <a16:creationId xmlns:a16="http://schemas.microsoft.com/office/drawing/2014/main" id="{EA5B5C44-E970-488F-A4D8-37DCC846304F}"/>
            </a:ext>
          </a:extLst>
        </xdr:cNvPr>
        <xdr:cNvPicPr>
          <a:picLocks noChangeAspect="1"/>
        </xdr:cNvPicPr>
      </xdr:nvPicPr>
      <xdr:blipFill>
        <a:blip xmlns:r="http://schemas.openxmlformats.org/officeDocument/2006/relationships" r:embed="rId2"/>
        <a:stretch>
          <a:fillRect/>
        </a:stretch>
      </xdr:blipFill>
      <xdr:spPr>
        <a:xfrm>
          <a:off x="6309360" y="175260"/>
          <a:ext cx="2684477" cy="5944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20955</xdr:colOff>
      <xdr:row>31</xdr:row>
      <xdr:rowOff>171450</xdr:rowOff>
    </xdr:from>
    <xdr:to>
      <xdr:col>10</xdr:col>
      <xdr:colOff>211455</xdr:colOff>
      <xdr:row>32</xdr:row>
      <xdr:rowOff>217136</xdr:rowOff>
    </xdr:to>
    <xdr:pic>
      <xdr:nvPicPr>
        <xdr:cNvPr id="2" name="그림 1">
          <a:extLst>
            <a:ext uri="{FF2B5EF4-FFF2-40B4-BE49-F238E27FC236}">
              <a16:creationId xmlns:a16="http://schemas.microsoft.com/office/drawing/2014/main" id="{1E42B38C-4423-45D3-A6E5-1D0BA4E89166}"/>
            </a:ext>
          </a:extLst>
        </xdr:cNvPr>
        <xdr:cNvPicPr>
          <a:picLocks noChangeAspect="1"/>
        </xdr:cNvPicPr>
      </xdr:nvPicPr>
      <xdr:blipFill>
        <a:blip xmlns:r="http://schemas.openxmlformats.org/officeDocument/2006/relationships" r:embed="rId1"/>
        <a:stretch>
          <a:fillRect/>
        </a:stretch>
      </xdr:blipFill>
      <xdr:spPr>
        <a:xfrm>
          <a:off x="4897755" y="6467475"/>
          <a:ext cx="1028700" cy="236186"/>
        </a:xfrm>
        <a:prstGeom prst="rect">
          <a:avLst/>
        </a:prstGeom>
      </xdr:spPr>
    </xdr:pic>
    <xdr:clientData/>
  </xdr:twoCellAnchor>
  <xdr:twoCellAnchor editAs="oneCell">
    <xdr:from>
      <xdr:col>10</xdr:col>
      <xdr:colOff>594360</xdr:colOff>
      <xdr:row>0</xdr:row>
      <xdr:rowOff>175260</xdr:rowOff>
    </xdr:from>
    <xdr:to>
      <xdr:col>14</xdr:col>
      <xdr:colOff>583262</xdr:colOff>
      <xdr:row>1</xdr:row>
      <xdr:rowOff>369652</xdr:rowOff>
    </xdr:to>
    <xdr:pic>
      <xdr:nvPicPr>
        <xdr:cNvPr id="3" name="그림 2">
          <a:extLst>
            <a:ext uri="{FF2B5EF4-FFF2-40B4-BE49-F238E27FC236}">
              <a16:creationId xmlns:a16="http://schemas.microsoft.com/office/drawing/2014/main" id="{A9517EE8-1514-4704-B7A8-BC2CD3305FF6}"/>
            </a:ext>
          </a:extLst>
        </xdr:cNvPr>
        <xdr:cNvPicPr>
          <a:picLocks noChangeAspect="1"/>
        </xdr:cNvPicPr>
      </xdr:nvPicPr>
      <xdr:blipFill>
        <a:blip xmlns:r="http://schemas.openxmlformats.org/officeDocument/2006/relationships" r:embed="rId2"/>
        <a:stretch>
          <a:fillRect/>
        </a:stretch>
      </xdr:blipFill>
      <xdr:spPr>
        <a:xfrm>
          <a:off x="6309360" y="175260"/>
          <a:ext cx="2684477" cy="5944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20955</xdr:colOff>
      <xdr:row>31</xdr:row>
      <xdr:rowOff>171450</xdr:rowOff>
    </xdr:from>
    <xdr:to>
      <xdr:col>10</xdr:col>
      <xdr:colOff>211455</xdr:colOff>
      <xdr:row>32</xdr:row>
      <xdr:rowOff>217136</xdr:rowOff>
    </xdr:to>
    <xdr:pic>
      <xdr:nvPicPr>
        <xdr:cNvPr id="2" name="그림 1">
          <a:extLst>
            <a:ext uri="{FF2B5EF4-FFF2-40B4-BE49-F238E27FC236}">
              <a16:creationId xmlns:a16="http://schemas.microsoft.com/office/drawing/2014/main" id="{0329EDCB-AD04-4FA4-97B2-2214E5B5A1BC}"/>
            </a:ext>
          </a:extLst>
        </xdr:cNvPr>
        <xdr:cNvPicPr>
          <a:picLocks noChangeAspect="1"/>
        </xdr:cNvPicPr>
      </xdr:nvPicPr>
      <xdr:blipFill>
        <a:blip xmlns:r="http://schemas.openxmlformats.org/officeDocument/2006/relationships" r:embed="rId1"/>
        <a:stretch>
          <a:fillRect/>
        </a:stretch>
      </xdr:blipFill>
      <xdr:spPr>
        <a:xfrm>
          <a:off x="4897755" y="6467475"/>
          <a:ext cx="1028700" cy="236186"/>
        </a:xfrm>
        <a:prstGeom prst="rect">
          <a:avLst/>
        </a:prstGeom>
      </xdr:spPr>
    </xdr:pic>
    <xdr:clientData/>
  </xdr:twoCellAnchor>
  <xdr:twoCellAnchor editAs="oneCell">
    <xdr:from>
      <xdr:col>10</xdr:col>
      <xdr:colOff>594360</xdr:colOff>
      <xdr:row>0</xdr:row>
      <xdr:rowOff>175260</xdr:rowOff>
    </xdr:from>
    <xdr:to>
      <xdr:col>14</xdr:col>
      <xdr:colOff>583262</xdr:colOff>
      <xdr:row>1</xdr:row>
      <xdr:rowOff>369652</xdr:rowOff>
    </xdr:to>
    <xdr:pic>
      <xdr:nvPicPr>
        <xdr:cNvPr id="3" name="그림 2">
          <a:extLst>
            <a:ext uri="{FF2B5EF4-FFF2-40B4-BE49-F238E27FC236}">
              <a16:creationId xmlns:a16="http://schemas.microsoft.com/office/drawing/2014/main" id="{839A2123-01F6-4B90-9B3F-79DB34260150}"/>
            </a:ext>
          </a:extLst>
        </xdr:cNvPr>
        <xdr:cNvPicPr>
          <a:picLocks noChangeAspect="1"/>
        </xdr:cNvPicPr>
      </xdr:nvPicPr>
      <xdr:blipFill>
        <a:blip xmlns:r="http://schemas.openxmlformats.org/officeDocument/2006/relationships" r:embed="rId2"/>
        <a:stretch>
          <a:fillRect/>
        </a:stretch>
      </xdr:blipFill>
      <xdr:spPr>
        <a:xfrm>
          <a:off x="6309360" y="175260"/>
          <a:ext cx="2684477" cy="594442"/>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34"/>
  <sheetViews>
    <sheetView zoomScaleNormal="100" zoomScaleSheetLayoutView="130" workbookViewId="0">
      <selection activeCell="S10" sqref="S10"/>
    </sheetView>
  </sheetViews>
  <sheetFormatPr defaultColWidth="8.88671875" defaultRowHeight="18" customHeight="1" x14ac:dyDescent="0.15"/>
  <cols>
    <col min="1" max="1" width="1.21875" style="1" customWidth="1"/>
    <col min="2" max="3" width="8.88671875" style="1"/>
    <col min="4" max="4" width="8" style="1" customWidth="1"/>
    <col min="5" max="5" width="6.21875" style="1" customWidth="1"/>
    <col min="6" max="6" width="8.88671875" style="1"/>
    <col min="7" max="8" width="6.21875" style="1" customWidth="1"/>
    <col min="9" max="9" width="2.33203125" style="1" customWidth="1"/>
    <col min="10" max="10" width="9.77734375" style="1" customWidth="1"/>
    <col min="11" max="11" width="9.5546875" style="1" customWidth="1"/>
    <col min="12" max="12" width="9.21875" style="1" customWidth="1"/>
    <col min="13" max="14" width="6.33203125" style="1" customWidth="1"/>
    <col min="15" max="15" width="7.6640625" style="1" customWidth="1"/>
    <col min="16" max="16" width="7.5546875" style="1" customWidth="1"/>
    <col min="17" max="16384" width="8.88671875" style="1"/>
  </cols>
  <sheetData>
    <row r="1" spans="2:15" ht="31.5" customHeight="1" x14ac:dyDescent="0.15">
      <c r="B1" s="18" t="s">
        <v>36</v>
      </c>
      <c r="C1" s="18" t="s">
        <v>37</v>
      </c>
    </row>
    <row r="2" spans="2:15" ht="31.5" customHeight="1" x14ac:dyDescent="0.15">
      <c r="B2" s="18"/>
    </row>
    <row r="3" spans="2:15" ht="30.75" customHeight="1" x14ac:dyDescent="0.15">
      <c r="B3" s="21" t="s">
        <v>0</v>
      </c>
      <c r="C3" s="21"/>
      <c r="D3" s="21"/>
      <c r="E3" s="21"/>
      <c r="F3" s="21"/>
      <c r="G3" s="21"/>
      <c r="H3" s="21"/>
      <c r="I3" s="21"/>
      <c r="J3" s="21"/>
      <c r="K3" s="21"/>
      <c r="L3" s="21"/>
      <c r="M3" s="21"/>
      <c r="N3" s="21"/>
      <c r="O3" s="21"/>
    </row>
    <row r="4" spans="2:15" ht="6.75" customHeight="1" x14ac:dyDescent="0.15"/>
    <row r="5" spans="2:15" s="2" customFormat="1" ht="14.25" customHeight="1" x14ac:dyDescent="0.15">
      <c r="B5" s="2" t="s">
        <v>15</v>
      </c>
      <c r="D5" s="22">
        <v>5550990</v>
      </c>
      <c r="E5" s="22"/>
      <c r="F5" s="22"/>
      <c r="G5" s="22"/>
      <c r="H5" s="22"/>
      <c r="I5" s="22"/>
      <c r="K5" s="2" t="s">
        <v>16</v>
      </c>
    </row>
    <row r="6" spans="2:15" s="2" customFormat="1" ht="14.25" customHeight="1" x14ac:dyDescent="0.15">
      <c r="B6" s="2" t="s">
        <v>17</v>
      </c>
      <c r="D6" s="22" t="s">
        <v>41</v>
      </c>
      <c r="E6" s="22"/>
      <c r="F6" s="22"/>
      <c r="G6" s="22"/>
      <c r="H6" s="22"/>
      <c r="I6" s="22"/>
      <c r="J6" s="22"/>
      <c r="K6" s="2" t="s">
        <v>18</v>
      </c>
      <c r="M6" s="2" t="s">
        <v>34</v>
      </c>
    </row>
    <row r="7" spans="2:15" ht="20.25" customHeight="1" x14ac:dyDescent="0.15">
      <c r="B7" s="3" t="s">
        <v>19</v>
      </c>
      <c r="D7" s="4"/>
      <c r="E7" s="4"/>
      <c r="F7" s="4"/>
      <c r="G7" s="4"/>
      <c r="H7" s="4"/>
      <c r="I7" s="4"/>
      <c r="K7" s="3" t="s">
        <v>20</v>
      </c>
    </row>
    <row r="8" spans="2:15" s="2" customFormat="1" ht="14.25" customHeight="1" x14ac:dyDescent="0.15">
      <c r="B8" s="2" t="s">
        <v>21</v>
      </c>
      <c r="D8" s="22" t="s">
        <v>42</v>
      </c>
      <c r="E8" s="22"/>
      <c r="F8" s="22"/>
      <c r="G8" s="22"/>
      <c r="H8" s="22"/>
      <c r="I8" s="22"/>
      <c r="K8" s="2" t="s">
        <v>22</v>
      </c>
      <c r="M8" s="22" t="s">
        <v>46</v>
      </c>
      <c r="N8" s="22"/>
      <c r="O8" s="22"/>
    </row>
    <row r="9" spans="2:15" s="2" customFormat="1" ht="14.25" customHeight="1" x14ac:dyDescent="0.15">
      <c r="B9" s="2" t="s">
        <v>23</v>
      </c>
      <c r="D9" s="19" t="s">
        <v>43</v>
      </c>
      <c r="E9" s="19"/>
      <c r="F9" s="19"/>
      <c r="G9" s="19"/>
      <c r="H9" s="19"/>
      <c r="I9" s="19"/>
      <c r="K9" s="2" t="s">
        <v>24</v>
      </c>
      <c r="M9" s="20" t="s">
        <v>38</v>
      </c>
      <c r="N9" s="20"/>
      <c r="O9" s="20"/>
    </row>
    <row r="10" spans="2:15" s="2" customFormat="1" ht="14.25" customHeight="1" x14ac:dyDescent="0.15">
      <c r="B10" s="2" t="s">
        <v>25</v>
      </c>
      <c r="D10" s="19" t="s">
        <v>44</v>
      </c>
      <c r="E10" s="19"/>
      <c r="F10" s="19"/>
      <c r="G10" s="19"/>
      <c r="H10" s="19"/>
      <c r="I10" s="19"/>
      <c r="M10" s="20"/>
      <c r="N10" s="20"/>
      <c r="O10" s="20"/>
    </row>
    <row r="11" spans="2:15" s="2" customFormat="1" ht="14.25" customHeight="1" x14ac:dyDescent="0.15">
      <c r="B11" s="2" t="s">
        <v>26</v>
      </c>
      <c r="D11" s="22" t="s">
        <v>45</v>
      </c>
      <c r="E11" s="22"/>
      <c r="F11" s="22"/>
      <c r="G11" s="22"/>
      <c r="H11" s="22"/>
      <c r="I11" s="22"/>
      <c r="K11" s="2" t="s">
        <v>27</v>
      </c>
      <c r="M11" s="22"/>
      <c r="N11" s="22"/>
      <c r="O11" s="22"/>
    </row>
    <row r="12" spans="2:15" s="2" customFormat="1" ht="14.25" customHeight="1" x14ac:dyDescent="0.15">
      <c r="D12" s="22"/>
      <c r="E12" s="22"/>
      <c r="F12" s="22"/>
      <c r="G12" s="22"/>
      <c r="H12" s="22"/>
      <c r="I12" s="22"/>
      <c r="K12" s="2" t="s">
        <v>28</v>
      </c>
      <c r="M12" s="22"/>
      <c r="N12" s="22"/>
      <c r="O12" s="22"/>
    </row>
    <row r="13" spans="2:15" s="2" customFormat="1" ht="14.25" customHeight="1" x14ac:dyDescent="0.15">
      <c r="B13" s="2" t="s">
        <v>39</v>
      </c>
      <c r="D13" s="22" t="s">
        <v>40</v>
      </c>
      <c r="E13" s="22"/>
      <c r="F13" s="22"/>
      <c r="G13" s="22"/>
      <c r="H13" s="22"/>
      <c r="I13" s="22"/>
      <c r="K13" s="2" t="s">
        <v>29</v>
      </c>
      <c r="M13" s="22"/>
      <c r="N13" s="22"/>
      <c r="O13" s="22"/>
    </row>
    <row r="14" spans="2:15" s="2" customFormat="1" ht="14.25" customHeight="1" x14ac:dyDescent="0.15">
      <c r="B14" s="2" t="s">
        <v>6</v>
      </c>
      <c r="M14" s="22"/>
      <c r="N14" s="22"/>
      <c r="O14" s="22"/>
    </row>
    <row r="15" spans="2:15" s="2" customFormat="1" ht="9" customHeight="1" x14ac:dyDescent="0.15">
      <c r="M15" s="5"/>
      <c r="N15" s="5"/>
      <c r="O15" s="5"/>
    </row>
    <row r="16" spans="2:15" s="2" customFormat="1" ht="9" customHeight="1" x14ac:dyDescent="0.15">
      <c r="M16" s="5"/>
      <c r="N16" s="5"/>
      <c r="O16" s="5"/>
    </row>
    <row r="17" spans="2:15" ht="24.75" customHeight="1" x14ac:dyDescent="0.15">
      <c r="B17" s="24" t="s">
        <v>7</v>
      </c>
      <c r="C17" s="25"/>
      <c r="D17" s="25"/>
      <c r="E17" s="25"/>
      <c r="F17" s="25"/>
      <c r="G17" s="25"/>
      <c r="H17" s="25"/>
      <c r="I17" s="25"/>
      <c r="J17" s="25"/>
      <c r="K17" s="25"/>
      <c r="L17" s="25"/>
      <c r="M17" s="25"/>
      <c r="N17" s="25"/>
      <c r="O17" s="26"/>
    </row>
    <row r="18" spans="2:15" ht="4.5" customHeight="1" x14ac:dyDescent="0.15"/>
    <row r="19" spans="2:15" s="10" customFormat="1" ht="17.25" customHeight="1" x14ac:dyDescent="0.2">
      <c r="B19" s="27" t="s">
        <v>30</v>
      </c>
      <c r="C19" s="28"/>
      <c r="D19" s="28"/>
      <c r="E19" s="6"/>
      <c r="F19" s="28" t="s">
        <v>8</v>
      </c>
      <c r="G19" s="28"/>
      <c r="H19" s="28"/>
      <c r="I19" s="7"/>
      <c r="J19" s="8"/>
      <c r="K19" s="9" t="s">
        <v>9</v>
      </c>
      <c r="L19" s="9"/>
      <c r="M19" s="31" t="s">
        <v>10</v>
      </c>
      <c r="N19" s="31"/>
      <c r="O19" s="33" t="s">
        <v>11</v>
      </c>
    </row>
    <row r="20" spans="2:15" s="10" customFormat="1" ht="17.25" customHeight="1" x14ac:dyDescent="0.15">
      <c r="B20" s="29"/>
      <c r="C20" s="30"/>
      <c r="D20" s="30"/>
      <c r="E20" s="11"/>
      <c r="F20" s="30"/>
      <c r="G20" s="30"/>
      <c r="H20" s="30"/>
      <c r="I20" s="12"/>
      <c r="J20" s="12" t="s">
        <v>31</v>
      </c>
      <c r="K20" s="13"/>
      <c r="L20" s="13" t="s">
        <v>12</v>
      </c>
      <c r="M20" s="32"/>
      <c r="N20" s="32"/>
      <c r="O20" s="34"/>
    </row>
    <row r="21" spans="2:15" s="2" customFormat="1" ht="15" customHeight="1" x14ac:dyDescent="0.15">
      <c r="B21" s="2" t="s">
        <v>47</v>
      </c>
      <c r="F21" s="2" t="s">
        <v>48</v>
      </c>
      <c r="J21" s="14">
        <v>61.6</v>
      </c>
      <c r="K21" s="15"/>
      <c r="L21" s="14">
        <v>67.599999999999994</v>
      </c>
      <c r="M21" s="23">
        <v>64.599999999999994</v>
      </c>
      <c r="N21" s="23"/>
      <c r="O21" s="5" t="s">
        <v>49</v>
      </c>
    </row>
    <row r="22" spans="2:15" s="2" customFormat="1" ht="15" customHeight="1" x14ac:dyDescent="0.15">
      <c r="B22" s="2" t="s">
        <v>50</v>
      </c>
      <c r="F22" s="2" t="s">
        <v>51</v>
      </c>
      <c r="J22" s="14">
        <v>3</v>
      </c>
      <c r="K22" s="15"/>
      <c r="L22" s="14">
        <v>6</v>
      </c>
      <c r="M22" s="23">
        <v>4.5999999999999996</v>
      </c>
      <c r="N22" s="23"/>
      <c r="O22" s="5" t="s">
        <v>52</v>
      </c>
    </row>
    <row r="23" spans="2:15" s="2" customFormat="1" ht="15" customHeight="1" x14ac:dyDescent="0.15">
      <c r="B23" s="2" t="s">
        <v>53</v>
      </c>
      <c r="F23" s="2" t="s">
        <v>54</v>
      </c>
      <c r="J23" s="14">
        <v>1.2010000000000001</v>
      </c>
      <c r="K23" s="15"/>
      <c r="L23" s="14">
        <v>1.2609999999999999</v>
      </c>
      <c r="M23" s="23">
        <v>1.2390000000000001</v>
      </c>
      <c r="N23" s="23"/>
      <c r="O23" s="5" t="s">
        <v>55</v>
      </c>
    </row>
    <row r="24" spans="2:15" s="2" customFormat="1" ht="15" customHeight="1" x14ac:dyDescent="0.15">
      <c r="B24" s="2" t="s">
        <v>56</v>
      </c>
      <c r="F24" s="2" t="s">
        <v>57</v>
      </c>
      <c r="J24" s="14"/>
      <c r="K24" s="15"/>
      <c r="L24" s="14">
        <v>1</v>
      </c>
      <c r="M24" s="23">
        <v>1</v>
      </c>
      <c r="N24" s="23"/>
      <c r="O24" s="5" t="s">
        <v>58</v>
      </c>
    </row>
    <row r="25" spans="2:15" s="2" customFormat="1" ht="15" customHeight="1" x14ac:dyDescent="0.15">
      <c r="B25" s="2" t="s">
        <v>59</v>
      </c>
      <c r="F25" s="2" t="s">
        <v>57</v>
      </c>
      <c r="J25" s="14"/>
      <c r="K25" s="15"/>
      <c r="L25" s="14">
        <v>5</v>
      </c>
      <c r="M25" s="23">
        <v>5</v>
      </c>
      <c r="N25" s="23"/>
      <c r="O25" s="5" t="s">
        <v>58</v>
      </c>
    </row>
    <row r="26" spans="2:15" s="2" customFormat="1" ht="15" customHeight="1" x14ac:dyDescent="0.15">
      <c r="B26" s="2" t="s">
        <v>60</v>
      </c>
      <c r="F26" s="2" t="s">
        <v>61</v>
      </c>
      <c r="J26" s="14"/>
      <c r="K26" s="15"/>
      <c r="L26" s="14">
        <v>30</v>
      </c>
      <c r="M26" s="23">
        <v>30</v>
      </c>
      <c r="N26" s="23"/>
      <c r="O26" s="5" t="s">
        <v>62</v>
      </c>
    </row>
    <row r="27" spans="2:15" s="2" customFormat="1" ht="15" customHeight="1" x14ac:dyDescent="0.15">
      <c r="B27" s="2" t="s">
        <v>63</v>
      </c>
      <c r="F27" s="2" t="s">
        <v>64</v>
      </c>
      <c r="J27" s="14">
        <v>2</v>
      </c>
      <c r="K27" s="15"/>
      <c r="L27" s="14"/>
      <c r="M27" s="23">
        <v>2</v>
      </c>
      <c r="N27" s="23"/>
      <c r="O27" s="5" t="s">
        <v>58</v>
      </c>
    </row>
    <row r="28" spans="2:15" s="2" customFormat="1" ht="15" customHeight="1" x14ac:dyDescent="0.15">
      <c r="B28" s="2" t="s">
        <v>65</v>
      </c>
      <c r="F28" s="2" t="s">
        <v>66</v>
      </c>
      <c r="J28" s="14">
        <v>250</v>
      </c>
      <c r="K28" s="15"/>
      <c r="L28" s="14"/>
      <c r="M28" s="23">
        <v>250</v>
      </c>
      <c r="N28" s="23"/>
      <c r="O28" s="5" t="s">
        <v>62</v>
      </c>
    </row>
    <row r="29" spans="2:15" s="2" customFormat="1" ht="15" customHeight="1" x14ac:dyDescent="0.15">
      <c r="J29" s="14"/>
      <c r="K29" s="15"/>
      <c r="L29" s="14"/>
      <c r="M29" s="23"/>
      <c r="N29" s="23"/>
      <c r="O29" s="5"/>
    </row>
    <row r="30" spans="2:15" s="2" customFormat="1" ht="15" customHeight="1" x14ac:dyDescent="0.15">
      <c r="J30" s="14"/>
      <c r="K30" s="15"/>
      <c r="L30" s="14"/>
      <c r="M30" s="23"/>
      <c r="N30" s="23"/>
      <c r="O30" s="5"/>
    </row>
    <row r="31" spans="2:15" s="2" customFormat="1" ht="15" customHeight="1" x14ac:dyDescent="0.15">
      <c r="J31" s="14"/>
      <c r="K31" s="15"/>
      <c r="L31" s="14"/>
      <c r="M31" s="14"/>
      <c r="N31" s="14"/>
      <c r="O31" s="5"/>
    </row>
    <row r="32" spans="2:15" s="2" customFormat="1" ht="15" customHeight="1" x14ac:dyDescent="0.15">
      <c r="J32" s="14"/>
      <c r="K32" s="15"/>
      <c r="L32" s="14"/>
      <c r="M32" s="14"/>
      <c r="N32" s="14"/>
      <c r="O32" s="5"/>
    </row>
    <row r="33" spans="2:15" ht="18" customHeight="1" x14ac:dyDescent="0.15">
      <c r="B33" s="16" t="s">
        <v>13</v>
      </c>
      <c r="C33" s="16"/>
      <c r="D33" s="4"/>
      <c r="E33" s="2"/>
      <c r="F33" s="2" t="s">
        <v>35</v>
      </c>
      <c r="G33" s="2"/>
      <c r="H33" s="2"/>
      <c r="N33" s="2" t="s">
        <v>32</v>
      </c>
      <c r="O33" s="17">
        <f ca="1">TODAY()</f>
        <v>46210</v>
      </c>
    </row>
    <row r="34" spans="2:15" ht="28.5" customHeight="1" x14ac:dyDescent="0.15">
      <c r="B34" s="35" t="s">
        <v>33</v>
      </c>
      <c r="C34" s="36"/>
      <c r="D34" s="36"/>
      <c r="E34" s="36"/>
      <c r="F34" s="36"/>
      <c r="G34" s="36"/>
      <c r="H34" s="36"/>
      <c r="I34" s="36"/>
      <c r="J34" s="36"/>
      <c r="K34" s="36"/>
      <c r="L34" s="36"/>
      <c r="M34" s="36"/>
      <c r="N34" s="36"/>
      <c r="O34" s="37"/>
    </row>
  </sheetData>
  <mergeCells count="31">
    <mergeCell ref="M27:N27"/>
    <mergeCell ref="M28:N28"/>
    <mergeCell ref="M29:N29"/>
    <mergeCell ref="M30:N30"/>
    <mergeCell ref="B34:O34"/>
    <mergeCell ref="M26:N26"/>
    <mergeCell ref="M14:O14"/>
    <mergeCell ref="B17:O17"/>
    <mergeCell ref="B19:D20"/>
    <mergeCell ref="F19:H20"/>
    <mergeCell ref="M19:N20"/>
    <mergeCell ref="O19:O20"/>
    <mergeCell ref="M21:N21"/>
    <mergeCell ref="M22:N22"/>
    <mergeCell ref="M23:N23"/>
    <mergeCell ref="M24:N24"/>
    <mergeCell ref="M25:N25"/>
    <mergeCell ref="D11:I11"/>
    <mergeCell ref="M11:O11"/>
    <mergeCell ref="D12:I12"/>
    <mergeCell ref="M12:O12"/>
    <mergeCell ref="D13:I13"/>
    <mergeCell ref="M13:O13"/>
    <mergeCell ref="D9:I9"/>
    <mergeCell ref="M9:O10"/>
    <mergeCell ref="D10:I10"/>
    <mergeCell ref="B3:O3"/>
    <mergeCell ref="D5:I5"/>
    <mergeCell ref="D8:I8"/>
    <mergeCell ref="M8:O8"/>
    <mergeCell ref="D6:J6"/>
  </mergeCells>
  <phoneticPr fontId="1" type="noConversion"/>
  <pageMargins left="0.9055118110236221" right="0.70866141732283472" top="0.19685039370078741" bottom="0.23622047244094491" header="0.15748031496062992" footer="0.15748031496062992"/>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602E3-BD79-4168-AE8B-6CD787A5FD44}">
  <dimension ref="B1:O34"/>
  <sheetViews>
    <sheetView zoomScaleNormal="100" zoomScaleSheetLayoutView="130" workbookViewId="0">
      <selection activeCell="S10" sqref="S10"/>
    </sheetView>
  </sheetViews>
  <sheetFormatPr defaultColWidth="8.88671875" defaultRowHeight="18" customHeight="1" x14ac:dyDescent="0.15"/>
  <cols>
    <col min="1" max="1" width="1.21875" style="1" customWidth="1"/>
    <col min="2" max="3" width="8.88671875" style="1"/>
    <col min="4" max="4" width="8" style="1" customWidth="1"/>
    <col min="5" max="5" width="6.21875" style="1" customWidth="1"/>
    <col min="6" max="6" width="8.88671875" style="1"/>
    <col min="7" max="8" width="6.21875" style="1" customWidth="1"/>
    <col min="9" max="9" width="2.33203125" style="1" customWidth="1"/>
    <col min="10" max="10" width="9.77734375" style="1" customWidth="1"/>
    <col min="11" max="11" width="9.5546875" style="1" customWidth="1"/>
    <col min="12" max="12" width="9.21875" style="1" customWidth="1"/>
    <col min="13" max="14" width="6.33203125" style="1" customWidth="1"/>
    <col min="15" max="15" width="7.6640625" style="1" customWidth="1"/>
    <col min="16" max="16" width="7.5546875" style="1" customWidth="1"/>
    <col min="17" max="16384" width="8.88671875" style="1"/>
  </cols>
  <sheetData>
    <row r="1" spans="2:15" ht="31.5" customHeight="1" x14ac:dyDescent="0.15">
      <c r="B1" s="18" t="s">
        <v>36</v>
      </c>
      <c r="C1" s="18" t="s">
        <v>67</v>
      </c>
    </row>
    <row r="2" spans="2:15" ht="31.5" customHeight="1" x14ac:dyDescent="0.15">
      <c r="B2" s="18"/>
    </row>
    <row r="3" spans="2:15" ht="30.75" customHeight="1" x14ac:dyDescent="0.15">
      <c r="B3" s="21" t="s">
        <v>0</v>
      </c>
      <c r="C3" s="21"/>
      <c r="D3" s="21"/>
      <c r="E3" s="21"/>
      <c r="F3" s="21"/>
      <c r="G3" s="21"/>
      <c r="H3" s="21"/>
      <c r="I3" s="21"/>
      <c r="J3" s="21"/>
      <c r="K3" s="21"/>
      <c r="L3" s="21"/>
      <c r="M3" s="21"/>
      <c r="N3" s="21"/>
      <c r="O3" s="21"/>
    </row>
    <row r="4" spans="2:15" ht="6.75" customHeight="1" x14ac:dyDescent="0.15"/>
    <row r="5" spans="2:15" s="2" customFormat="1" ht="14.25" customHeight="1" x14ac:dyDescent="0.15">
      <c r="B5" s="2" t="s">
        <v>1</v>
      </c>
      <c r="D5" s="22">
        <v>5550990</v>
      </c>
      <c r="E5" s="22"/>
      <c r="F5" s="22"/>
      <c r="G5" s="22"/>
      <c r="H5" s="22"/>
      <c r="I5" s="22"/>
      <c r="K5" s="2" t="s">
        <v>16</v>
      </c>
    </row>
    <row r="6" spans="2:15" s="2" customFormat="1" ht="14.25" customHeight="1" x14ac:dyDescent="0.15">
      <c r="B6" s="2" t="s">
        <v>17</v>
      </c>
      <c r="D6" s="22" t="s">
        <v>70</v>
      </c>
      <c r="E6" s="22"/>
      <c r="F6" s="22"/>
      <c r="G6" s="22"/>
      <c r="H6" s="22"/>
      <c r="I6" s="22"/>
      <c r="J6" s="22"/>
      <c r="K6" s="2" t="s">
        <v>18</v>
      </c>
      <c r="M6" s="2" t="s">
        <v>34</v>
      </c>
    </row>
    <row r="7" spans="2:15" ht="20.25" customHeight="1" x14ac:dyDescent="0.15">
      <c r="B7" s="3" t="s">
        <v>19</v>
      </c>
      <c r="D7" s="4"/>
      <c r="E7" s="4"/>
      <c r="F7" s="4"/>
      <c r="G7" s="4"/>
      <c r="H7" s="4"/>
      <c r="I7" s="4"/>
      <c r="K7" s="3" t="s">
        <v>20</v>
      </c>
    </row>
    <row r="8" spans="2:15" s="2" customFormat="1" ht="14.25" customHeight="1" x14ac:dyDescent="0.15">
      <c r="B8" s="2" t="s">
        <v>2</v>
      </c>
      <c r="D8" s="22" t="s">
        <v>71</v>
      </c>
      <c r="E8" s="22"/>
      <c r="F8" s="22"/>
      <c r="G8" s="22"/>
      <c r="H8" s="22"/>
      <c r="I8" s="22"/>
      <c r="K8" s="2" t="s">
        <v>22</v>
      </c>
      <c r="M8" s="22" t="s">
        <v>75</v>
      </c>
      <c r="N8" s="22"/>
      <c r="O8" s="22"/>
    </row>
    <row r="9" spans="2:15" s="2" customFormat="1" ht="14.25" customHeight="1" x14ac:dyDescent="0.15">
      <c r="B9" s="2" t="s">
        <v>3</v>
      </c>
      <c r="D9" s="19" t="s">
        <v>72</v>
      </c>
      <c r="E9" s="19"/>
      <c r="F9" s="19"/>
      <c r="G9" s="19"/>
      <c r="H9" s="19"/>
      <c r="I9" s="19"/>
      <c r="K9" s="2" t="s">
        <v>4</v>
      </c>
      <c r="M9" s="20" t="s">
        <v>68</v>
      </c>
      <c r="N9" s="20"/>
      <c r="O9" s="20"/>
    </row>
    <row r="10" spans="2:15" s="2" customFormat="1" ht="14.25" customHeight="1" x14ac:dyDescent="0.15">
      <c r="B10" s="2" t="s">
        <v>25</v>
      </c>
      <c r="D10" s="19" t="s">
        <v>73</v>
      </c>
      <c r="E10" s="19"/>
      <c r="F10" s="19"/>
      <c r="G10" s="19"/>
      <c r="H10" s="19"/>
      <c r="I10" s="19"/>
      <c r="M10" s="20"/>
      <c r="N10" s="20"/>
      <c r="O10" s="20"/>
    </row>
    <row r="11" spans="2:15" s="2" customFormat="1" ht="14.25" customHeight="1" x14ac:dyDescent="0.15">
      <c r="B11" s="2" t="s">
        <v>26</v>
      </c>
      <c r="D11" s="22" t="s">
        <v>74</v>
      </c>
      <c r="E11" s="22"/>
      <c r="F11" s="22"/>
      <c r="G11" s="22"/>
      <c r="H11" s="22"/>
      <c r="I11" s="22"/>
      <c r="K11" s="2" t="s">
        <v>27</v>
      </c>
      <c r="M11" s="22"/>
      <c r="N11" s="22"/>
      <c r="O11" s="22"/>
    </row>
    <row r="12" spans="2:15" s="2" customFormat="1" ht="14.25" customHeight="1" x14ac:dyDescent="0.15">
      <c r="D12" s="22"/>
      <c r="E12" s="22"/>
      <c r="F12" s="22"/>
      <c r="G12" s="22"/>
      <c r="H12" s="22"/>
      <c r="I12" s="22"/>
      <c r="K12" s="2" t="s">
        <v>28</v>
      </c>
      <c r="M12" s="22"/>
      <c r="N12" s="22"/>
      <c r="O12" s="22"/>
    </row>
    <row r="13" spans="2:15" s="2" customFormat="1" ht="14.25" customHeight="1" x14ac:dyDescent="0.15">
      <c r="B13" s="2" t="s">
        <v>39</v>
      </c>
      <c r="D13" s="22" t="s">
        <v>69</v>
      </c>
      <c r="E13" s="22"/>
      <c r="F13" s="22"/>
      <c r="G13" s="22"/>
      <c r="H13" s="22"/>
      <c r="I13" s="22"/>
      <c r="K13" s="2" t="s">
        <v>5</v>
      </c>
      <c r="M13" s="22"/>
      <c r="N13" s="22"/>
      <c r="O13" s="22"/>
    </row>
    <row r="14" spans="2:15" s="2" customFormat="1" ht="14.25" customHeight="1" x14ac:dyDescent="0.15">
      <c r="B14" s="2" t="s">
        <v>6</v>
      </c>
      <c r="M14" s="22"/>
      <c r="N14" s="22"/>
      <c r="O14" s="22"/>
    </row>
    <row r="15" spans="2:15" s="2" customFormat="1" ht="9" customHeight="1" x14ac:dyDescent="0.15">
      <c r="M15" s="5"/>
      <c r="N15" s="5"/>
      <c r="O15" s="5"/>
    </row>
    <row r="16" spans="2:15" s="2" customFormat="1" ht="9" customHeight="1" x14ac:dyDescent="0.15">
      <c r="M16" s="5"/>
      <c r="N16" s="5"/>
      <c r="O16" s="5"/>
    </row>
    <row r="17" spans="2:15" ht="24.75" customHeight="1" x14ac:dyDescent="0.15">
      <c r="B17" s="24" t="s">
        <v>7</v>
      </c>
      <c r="C17" s="25"/>
      <c r="D17" s="25"/>
      <c r="E17" s="25"/>
      <c r="F17" s="25"/>
      <c r="G17" s="25"/>
      <c r="H17" s="25"/>
      <c r="I17" s="25"/>
      <c r="J17" s="25"/>
      <c r="K17" s="25"/>
      <c r="L17" s="25"/>
      <c r="M17" s="25"/>
      <c r="N17" s="25"/>
      <c r="O17" s="26"/>
    </row>
    <row r="18" spans="2:15" ht="4.5" customHeight="1" x14ac:dyDescent="0.15"/>
    <row r="19" spans="2:15" s="10" customFormat="1" ht="17.25" customHeight="1" x14ac:dyDescent="0.2">
      <c r="B19" s="27" t="s">
        <v>30</v>
      </c>
      <c r="C19" s="28"/>
      <c r="D19" s="28"/>
      <c r="E19" s="6"/>
      <c r="F19" s="28" t="s">
        <v>8</v>
      </c>
      <c r="G19" s="28"/>
      <c r="H19" s="28"/>
      <c r="I19" s="7"/>
      <c r="J19" s="8"/>
      <c r="K19" s="9" t="s">
        <v>9</v>
      </c>
      <c r="L19" s="9"/>
      <c r="M19" s="31" t="s">
        <v>10</v>
      </c>
      <c r="N19" s="31"/>
      <c r="O19" s="33" t="s">
        <v>11</v>
      </c>
    </row>
    <row r="20" spans="2:15" s="10" customFormat="1" ht="17.25" customHeight="1" x14ac:dyDescent="0.15">
      <c r="B20" s="29"/>
      <c r="C20" s="30"/>
      <c r="D20" s="30"/>
      <c r="E20" s="11"/>
      <c r="F20" s="30"/>
      <c r="G20" s="30"/>
      <c r="H20" s="30"/>
      <c r="I20" s="12"/>
      <c r="J20" s="12" t="s">
        <v>31</v>
      </c>
      <c r="K20" s="13"/>
      <c r="L20" s="13" t="s">
        <v>12</v>
      </c>
      <c r="M20" s="32"/>
      <c r="N20" s="32"/>
      <c r="O20" s="34"/>
    </row>
    <row r="21" spans="2:15" s="2" customFormat="1" ht="15" customHeight="1" x14ac:dyDescent="0.15">
      <c r="B21" s="2" t="s">
        <v>47</v>
      </c>
      <c r="F21" s="2" t="s">
        <v>48</v>
      </c>
      <c r="J21" s="14">
        <v>61.6</v>
      </c>
      <c r="K21" s="15"/>
      <c r="L21" s="14">
        <v>67.599999999999994</v>
      </c>
      <c r="M21" s="23">
        <v>64.599999999999994</v>
      </c>
      <c r="N21" s="23"/>
      <c r="O21" s="5" t="s">
        <v>49</v>
      </c>
    </row>
    <row r="22" spans="2:15" s="2" customFormat="1" ht="15" customHeight="1" x14ac:dyDescent="0.15">
      <c r="B22" s="2" t="s">
        <v>50</v>
      </c>
      <c r="F22" s="2" t="s">
        <v>51</v>
      </c>
      <c r="J22" s="14">
        <v>3</v>
      </c>
      <c r="K22" s="15"/>
      <c r="L22" s="14">
        <v>6</v>
      </c>
      <c r="M22" s="23">
        <v>4.5999999999999996</v>
      </c>
      <c r="N22" s="23"/>
      <c r="O22" s="5" t="s">
        <v>52</v>
      </c>
    </row>
    <row r="23" spans="2:15" s="2" customFormat="1" ht="15" customHeight="1" x14ac:dyDescent="0.15">
      <c r="B23" s="2" t="s">
        <v>53</v>
      </c>
      <c r="F23" s="2" t="s">
        <v>54</v>
      </c>
      <c r="J23" s="14">
        <v>1.2010000000000001</v>
      </c>
      <c r="K23" s="15"/>
      <c r="L23" s="14">
        <v>1.2609999999999999</v>
      </c>
      <c r="M23" s="23">
        <v>1.2390000000000001</v>
      </c>
      <c r="N23" s="23"/>
      <c r="O23" s="5" t="s">
        <v>55</v>
      </c>
    </row>
    <row r="24" spans="2:15" s="2" customFormat="1" ht="15" customHeight="1" x14ac:dyDescent="0.15">
      <c r="B24" s="2" t="s">
        <v>56</v>
      </c>
      <c r="F24" s="2" t="s">
        <v>57</v>
      </c>
      <c r="J24" s="14"/>
      <c r="K24" s="15"/>
      <c r="L24" s="14">
        <v>1</v>
      </c>
      <c r="M24" s="23">
        <v>1</v>
      </c>
      <c r="N24" s="23"/>
      <c r="O24" s="5" t="s">
        <v>58</v>
      </c>
    </row>
    <row r="25" spans="2:15" s="2" customFormat="1" ht="15" customHeight="1" x14ac:dyDescent="0.15">
      <c r="B25" s="2" t="s">
        <v>59</v>
      </c>
      <c r="F25" s="2" t="s">
        <v>57</v>
      </c>
      <c r="J25" s="14"/>
      <c r="K25" s="15"/>
      <c r="L25" s="14">
        <v>5</v>
      </c>
      <c r="M25" s="23">
        <v>5</v>
      </c>
      <c r="N25" s="23"/>
      <c r="O25" s="5" t="s">
        <v>58</v>
      </c>
    </row>
    <row r="26" spans="2:15" s="2" customFormat="1" ht="15" customHeight="1" x14ac:dyDescent="0.15">
      <c r="B26" s="2" t="s">
        <v>60</v>
      </c>
      <c r="F26" s="2" t="s">
        <v>61</v>
      </c>
      <c r="J26" s="14"/>
      <c r="K26" s="15"/>
      <c r="L26" s="14">
        <v>30</v>
      </c>
      <c r="M26" s="23">
        <v>30</v>
      </c>
      <c r="N26" s="23"/>
      <c r="O26" s="5" t="s">
        <v>62</v>
      </c>
    </row>
    <row r="27" spans="2:15" s="2" customFormat="1" ht="15" customHeight="1" x14ac:dyDescent="0.15">
      <c r="B27" s="2" t="s">
        <v>63</v>
      </c>
      <c r="F27" s="2" t="s">
        <v>64</v>
      </c>
      <c r="J27" s="14">
        <v>2</v>
      </c>
      <c r="K27" s="15"/>
      <c r="L27" s="14"/>
      <c r="M27" s="23">
        <v>2</v>
      </c>
      <c r="N27" s="23"/>
      <c r="O27" s="5" t="s">
        <v>58</v>
      </c>
    </row>
    <row r="28" spans="2:15" s="2" customFormat="1" ht="15" customHeight="1" x14ac:dyDescent="0.15">
      <c r="B28" s="2" t="s">
        <v>65</v>
      </c>
      <c r="F28" s="2" t="s">
        <v>66</v>
      </c>
      <c r="J28" s="14">
        <v>250</v>
      </c>
      <c r="K28" s="15"/>
      <c r="L28" s="14"/>
      <c r="M28" s="23">
        <v>250</v>
      </c>
      <c r="N28" s="23"/>
      <c r="O28" s="5" t="s">
        <v>62</v>
      </c>
    </row>
    <row r="29" spans="2:15" s="2" customFormat="1" ht="15" customHeight="1" x14ac:dyDescent="0.15">
      <c r="J29" s="14"/>
      <c r="K29" s="15"/>
      <c r="L29" s="14"/>
      <c r="M29" s="23"/>
      <c r="N29" s="23"/>
      <c r="O29" s="5"/>
    </row>
    <row r="30" spans="2:15" s="2" customFormat="1" ht="15" customHeight="1" x14ac:dyDescent="0.15">
      <c r="J30" s="14"/>
      <c r="K30" s="15"/>
      <c r="L30" s="14"/>
      <c r="M30" s="23"/>
      <c r="N30" s="23"/>
      <c r="O30" s="5"/>
    </row>
    <row r="31" spans="2:15" s="2" customFormat="1" ht="15" customHeight="1" x14ac:dyDescent="0.15">
      <c r="J31" s="14"/>
      <c r="K31" s="15"/>
      <c r="L31" s="14"/>
      <c r="M31" s="14"/>
      <c r="N31" s="14"/>
      <c r="O31" s="5"/>
    </row>
    <row r="32" spans="2:15" s="2" customFormat="1" ht="15" customHeight="1" x14ac:dyDescent="0.15">
      <c r="J32" s="14"/>
      <c r="K32" s="15"/>
      <c r="L32" s="14"/>
      <c r="M32" s="14"/>
      <c r="N32" s="14"/>
      <c r="O32" s="5"/>
    </row>
    <row r="33" spans="2:15" ht="18" customHeight="1" x14ac:dyDescent="0.15">
      <c r="B33" s="16" t="s">
        <v>13</v>
      </c>
      <c r="C33" s="16"/>
      <c r="D33" s="4"/>
      <c r="E33" s="2"/>
      <c r="F33" s="2" t="s">
        <v>35</v>
      </c>
      <c r="G33" s="2"/>
      <c r="H33" s="2"/>
      <c r="N33" s="2" t="s">
        <v>14</v>
      </c>
      <c r="O33" s="17">
        <f ca="1">TODAY()</f>
        <v>46210</v>
      </c>
    </row>
    <row r="34" spans="2:15" ht="28.5" customHeight="1" x14ac:dyDescent="0.15">
      <c r="B34" s="35" t="s">
        <v>33</v>
      </c>
      <c r="C34" s="36"/>
      <c r="D34" s="36"/>
      <c r="E34" s="36"/>
      <c r="F34" s="36"/>
      <c r="G34" s="36"/>
      <c r="H34" s="36"/>
      <c r="I34" s="36"/>
      <c r="J34" s="36"/>
      <c r="K34" s="36"/>
      <c r="L34" s="36"/>
      <c r="M34" s="36"/>
      <c r="N34" s="36"/>
      <c r="O34" s="37"/>
    </row>
  </sheetData>
  <mergeCells count="31">
    <mergeCell ref="M27:N27"/>
    <mergeCell ref="M28:N28"/>
    <mergeCell ref="M29:N29"/>
    <mergeCell ref="M30:N30"/>
    <mergeCell ref="B34:O34"/>
    <mergeCell ref="M21:N21"/>
    <mergeCell ref="M22:N22"/>
    <mergeCell ref="M23:N23"/>
    <mergeCell ref="M24:N24"/>
    <mergeCell ref="M25:N25"/>
    <mergeCell ref="M26:N26"/>
    <mergeCell ref="M14:O14"/>
    <mergeCell ref="B17:O17"/>
    <mergeCell ref="B19:D20"/>
    <mergeCell ref="F19:H20"/>
    <mergeCell ref="M19:N20"/>
    <mergeCell ref="O19:O20"/>
    <mergeCell ref="D11:I11"/>
    <mergeCell ref="M11:O11"/>
    <mergeCell ref="D12:I12"/>
    <mergeCell ref="M12:O12"/>
    <mergeCell ref="D13:I13"/>
    <mergeCell ref="M13:O13"/>
    <mergeCell ref="B3:O3"/>
    <mergeCell ref="D5:I5"/>
    <mergeCell ref="D6:J6"/>
    <mergeCell ref="D8:I8"/>
    <mergeCell ref="M8:O8"/>
    <mergeCell ref="D9:I9"/>
    <mergeCell ref="M9:O10"/>
    <mergeCell ref="D10:I10"/>
  </mergeCells>
  <phoneticPr fontId="1" type="noConversion"/>
  <pageMargins left="0.9055118110236221" right="0.70866141732283472" top="0.19685039370078741" bottom="0.23622047244094491" header="0.15748031496062992" footer="0.15748031496062992"/>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24DCA-CD78-4E7B-8918-36AC6DE09D50}">
  <dimension ref="B1:O34"/>
  <sheetViews>
    <sheetView zoomScaleNormal="100" zoomScaleSheetLayoutView="130" workbookViewId="0">
      <selection activeCell="S10" sqref="S10"/>
    </sheetView>
  </sheetViews>
  <sheetFormatPr defaultColWidth="8.88671875" defaultRowHeight="18" customHeight="1" x14ac:dyDescent="0.15"/>
  <cols>
    <col min="1" max="1" width="1.21875" style="1" customWidth="1"/>
    <col min="2" max="3" width="8.88671875" style="1"/>
    <col min="4" max="4" width="8" style="1" customWidth="1"/>
    <col min="5" max="5" width="6.21875" style="1" customWidth="1"/>
    <col min="6" max="6" width="8.88671875" style="1"/>
    <col min="7" max="8" width="6.21875" style="1" customWidth="1"/>
    <col min="9" max="9" width="2.33203125" style="1" customWidth="1"/>
    <col min="10" max="10" width="9.77734375" style="1" customWidth="1"/>
    <col min="11" max="11" width="9.5546875" style="1" customWidth="1"/>
    <col min="12" max="12" width="9.21875" style="1" customWidth="1"/>
    <col min="13" max="14" width="6.33203125" style="1" customWidth="1"/>
    <col min="15" max="15" width="7.6640625" style="1" customWidth="1"/>
    <col min="16" max="16" width="7.5546875" style="1" customWidth="1"/>
    <col min="17" max="16384" width="8.88671875" style="1"/>
  </cols>
  <sheetData>
    <row r="1" spans="2:15" ht="31.5" customHeight="1" x14ac:dyDescent="0.15">
      <c r="B1" s="18" t="s">
        <v>36</v>
      </c>
      <c r="C1" s="18" t="s">
        <v>76</v>
      </c>
    </row>
    <row r="2" spans="2:15" ht="31.5" customHeight="1" x14ac:dyDescent="0.15">
      <c r="B2" s="18"/>
    </row>
    <row r="3" spans="2:15" ht="30.75" customHeight="1" x14ac:dyDescent="0.15">
      <c r="B3" s="21" t="s">
        <v>0</v>
      </c>
      <c r="C3" s="21"/>
      <c r="D3" s="21"/>
      <c r="E3" s="21"/>
      <c r="F3" s="21"/>
      <c r="G3" s="21"/>
      <c r="H3" s="21"/>
      <c r="I3" s="21"/>
      <c r="J3" s="21"/>
      <c r="K3" s="21"/>
      <c r="L3" s="21"/>
      <c r="M3" s="21"/>
      <c r="N3" s="21"/>
      <c r="O3" s="21"/>
    </row>
    <row r="4" spans="2:15" ht="6.75" customHeight="1" x14ac:dyDescent="0.15"/>
    <row r="5" spans="2:15" s="2" customFormat="1" ht="14.25" customHeight="1" x14ac:dyDescent="0.15">
      <c r="B5" s="2" t="s">
        <v>1</v>
      </c>
      <c r="D5" s="22">
        <v>5348844</v>
      </c>
      <c r="E5" s="22"/>
      <c r="F5" s="22"/>
      <c r="G5" s="22"/>
      <c r="H5" s="22"/>
      <c r="I5" s="22"/>
      <c r="K5" s="2" t="s">
        <v>16</v>
      </c>
    </row>
    <row r="6" spans="2:15" s="2" customFormat="1" ht="14.25" customHeight="1" x14ac:dyDescent="0.15">
      <c r="B6" s="2" t="s">
        <v>17</v>
      </c>
      <c r="D6" s="22" t="s">
        <v>78</v>
      </c>
      <c r="E6" s="22"/>
      <c r="F6" s="22"/>
      <c r="G6" s="22"/>
      <c r="H6" s="22"/>
      <c r="I6" s="22"/>
      <c r="J6" s="22"/>
      <c r="K6" s="2" t="s">
        <v>18</v>
      </c>
      <c r="M6" s="2" t="s">
        <v>34</v>
      </c>
    </row>
    <row r="7" spans="2:15" ht="20.25" customHeight="1" x14ac:dyDescent="0.15">
      <c r="B7" s="3" t="s">
        <v>19</v>
      </c>
      <c r="D7" s="4"/>
      <c r="E7" s="4"/>
      <c r="F7" s="4"/>
      <c r="G7" s="4"/>
      <c r="H7" s="4"/>
      <c r="I7" s="4"/>
      <c r="K7" s="3" t="s">
        <v>20</v>
      </c>
    </row>
    <row r="8" spans="2:15" s="2" customFormat="1" ht="14.25" customHeight="1" x14ac:dyDescent="0.15">
      <c r="B8" s="2" t="s">
        <v>2</v>
      </c>
      <c r="D8" s="22" t="s">
        <v>79</v>
      </c>
      <c r="E8" s="22"/>
      <c r="F8" s="22"/>
      <c r="G8" s="22"/>
      <c r="H8" s="22"/>
      <c r="I8" s="22"/>
      <c r="K8" s="2" t="s">
        <v>22</v>
      </c>
      <c r="M8" s="22"/>
      <c r="N8" s="22"/>
      <c r="O8" s="22"/>
    </row>
    <row r="9" spans="2:15" s="2" customFormat="1" ht="14.25" customHeight="1" x14ac:dyDescent="0.15">
      <c r="B9" s="2" t="s">
        <v>3</v>
      </c>
      <c r="D9" s="19" t="s">
        <v>80</v>
      </c>
      <c r="E9" s="19"/>
      <c r="F9" s="19"/>
      <c r="G9" s="19"/>
      <c r="H9" s="19"/>
      <c r="I9" s="19"/>
      <c r="K9" s="2" t="s">
        <v>4</v>
      </c>
      <c r="M9" s="20" t="s">
        <v>68</v>
      </c>
      <c r="N9" s="20"/>
      <c r="O9" s="20"/>
    </row>
    <row r="10" spans="2:15" s="2" customFormat="1" ht="14.25" customHeight="1" x14ac:dyDescent="0.15">
      <c r="B10" s="2" t="s">
        <v>25</v>
      </c>
      <c r="D10" s="19" t="s">
        <v>81</v>
      </c>
      <c r="E10" s="19"/>
      <c r="F10" s="19"/>
      <c r="G10" s="19"/>
      <c r="H10" s="19"/>
      <c r="I10" s="19"/>
      <c r="M10" s="20"/>
      <c r="N10" s="20"/>
      <c r="O10" s="20"/>
    </row>
    <row r="11" spans="2:15" s="2" customFormat="1" ht="14.25" customHeight="1" x14ac:dyDescent="0.15">
      <c r="B11" s="2" t="s">
        <v>26</v>
      </c>
      <c r="D11" s="22" t="s">
        <v>82</v>
      </c>
      <c r="E11" s="22"/>
      <c r="F11" s="22"/>
      <c r="G11" s="22"/>
      <c r="H11" s="22"/>
      <c r="I11" s="22"/>
      <c r="K11" s="2" t="s">
        <v>27</v>
      </c>
      <c r="M11" s="22"/>
      <c r="N11" s="22"/>
      <c r="O11" s="22"/>
    </row>
    <row r="12" spans="2:15" s="2" customFormat="1" ht="14.25" customHeight="1" x14ac:dyDescent="0.15">
      <c r="D12" s="22"/>
      <c r="E12" s="22"/>
      <c r="F12" s="22"/>
      <c r="G12" s="22"/>
      <c r="H12" s="22"/>
      <c r="I12" s="22"/>
      <c r="K12" s="2" t="s">
        <v>28</v>
      </c>
      <c r="M12" s="22"/>
      <c r="N12" s="22"/>
      <c r="O12" s="22"/>
    </row>
    <row r="13" spans="2:15" s="2" customFormat="1" ht="14.25" customHeight="1" x14ac:dyDescent="0.15">
      <c r="B13" s="2" t="s">
        <v>39</v>
      </c>
      <c r="D13" s="22" t="s">
        <v>77</v>
      </c>
      <c r="E13" s="22"/>
      <c r="F13" s="22"/>
      <c r="G13" s="22"/>
      <c r="H13" s="22"/>
      <c r="I13" s="22"/>
      <c r="K13" s="2" t="s">
        <v>5</v>
      </c>
      <c r="M13" s="22"/>
      <c r="N13" s="22"/>
      <c r="O13" s="22"/>
    </row>
    <row r="14" spans="2:15" s="2" customFormat="1" ht="14.25" customHeight="1" x14ac:dyDescent="0.15">
      <c r="B14" s="2" t="s">
        <v>6</v>
      </c>
      <c r="M14" s="22"/>
      <c r="N14" s="22"/>
      <c r="O14" s="22"/>
    </row>
    <row r="15" spans="2:15" s="2" customFormat="1" ht="9" customHeight="1" x14ac:dyDescent="0.15">
      <c r="M15" s="5"/>
      <c r="N15" s="5"/>
      <c r="O15" s="5"/>
    </row>
    <row r="16" spans="2:15" s="2" customFormat="1" ht="9" customHeight="1" x14ac:dyDescent="0.15">
      <c r="M16" s="5"/>
      <c r="N16" s="5"/>
      <c r="O16" s="5"/>
    </row>
    <row r="17" spans="2:15" ht="24.75" customHeight="1" x14ac:dyDescent="0.15">
      <c r="B17" s="24" t="s">
        <v>7</v>
      </c>
      <c r="C17" s="25"/>
      <c r="D17" s="25"/>
      <c r="E17" s="25"/>
      <c r="F17" s="25"/>
      <c r="G17" s="25"/>
      <c r="H17" s="25"/>
      <c r="I17" s="25"/>
      <c r="J17" s="25"/>
      <c r="K17" s="25"/>
      <c r="L17" s="25"/>
      <c r="M17" s="25"/>
      <c r="N17" s="25"/>
      <c r="O17" s="26"/>
    </row>
    <row r="18" spans="2:15" ht="4.5" customHeight="1" x14ac:dyDescent="0.15"/>
    <row r="19" spans="2:15" s="10" customFormat="1" ht="17.25" customHeight="1" x14ac:dyDescent="0.2">
      <c r="B19" s="27" t="s">
        <v>30</v>
      </c>
      <c r="C19" s="28"/>
      <c r="D19" s="28"/>
      <c r="E19" s="6"/>
      <c r="F19" s="28" t="s">
        <v>8</v>
      </c>
      <c r="G19" s="28"/>
      <c r="H19" s="28"/>
      <c r="I19" s="7"/>
      <c r="J19" s="8"/>
      <c r="K19" s="9" t="s">
        <v>9</v>
      </c>
      <c r="L19" s="9"/>
      <c r="M19" s="31" t="s">
        <v>10</v>
      </c>
      <c r="N19" s="31"/>
      <c r="O19" s="33" t="s">
        <v>11</v>
      </c>
    </row>
    <row r="20" spans="2:15" s="10" customFormat="1" ht="17.25" customHeight="1" x14ac:dyDescent="0.15">
      <c r="B20" s="29"/>
      <c r="C20" s="30"/>
      <c r="D20" s="30"/>
      <c r="E20" s="11"/>
      <c r="F20" s="30"/>
      <c r="G20" s="30"/>
      <c r="H20" s="30"/>
      <c r="I20" s="12"/>
      <c r="J20" s="12" t="s">
        <v>31</v>
      </c>
      <c r="K20" s="13"/>
      <c r="L20" s="13" t="s">
        <v>12</v>
      </c>
      <c r="M20" s="32"/>
      <c r="N20" s="32"/>
      <c r="O20" s="34"/>
    </row>
    <row r="21" spans="2:15" s="2" customFormat="1" ht="15" customHeight="1" x14ac:dyDescent="0.15">
      <c r="B21" s="2" t="s">
        <v>47</v>
      </c>
      <c r="F21" s="2" t="s">
        <v>48</v>
      </c>
      <c r="J21" s="14">
        <v>80</v>
      </c>
      <c r="K21" s="15"/>
      <c r="L21" s="14">
        <v>86</v>
      </c>
      <c r="M21" s="23">
        <v>83</v>
      </c>
      <c r="N21" s="23"/>
      <c r="O21" s="5" t="s">
        <v>49</v>
      </c>
    </row>
    <row r="22" spans="2:15" s="2" customFormat="1" ht="15" customHeight="1" x14ac:dyDescent="0.15">
      <c r="B22" s="2" t="s">
        <v>50</v>
      </c>
      <c r="F22" s="2" t="s">
        <v>51</v>
      </c>
      <c r="J22" s="14">
        <v>2</v>
      </c>
      <c r="K22" s="15"/>
      <c r="L22" s="14">
        <v>4</v>
      </c>
      <c r="M22" s="23">
        <v>3.1</v>
      </c>
      <c r="N22" s="23"/>
      <c r="O22" s="5" t="s">
        <v>52</v>
      </c>
    </row>
    <row r="23" spans="2:15" s="2" customFormat="1" ht="15" customHeight="1" x14ac:dyDescent="0.15">
      <c r="B23" s="2" t="s">
        <v>53</v>
      </c>
      <c r="F23" s="2" t="s">
        <v>54</v>
      </c>
      <c r="J23" s="14">
        <v>1.069</v>
      </c>
      <c r="K23" s="15"/>
      <c r="L23" s="14">
        <v>1.129</v>
      </c>
      <c r="M23" s="23">
        <v>1.099</v>
      </c>
      <c r="N23" s="23"/>
      <c r="O23" s="5" t="s">
        <v>55</v>
      </c>
    </row>
    <row r="24" spans="2:15" s="2" customFormat="1" ht="15" customHeight="1" x14ac:dyDescent="0.15">
      <c r="J24" s="14"/>
      <c r="K24" s="15"/>
      <c r="L24" s="14"/>
      <c r="M24" s="23"/>
      <c r="N24" s="23"/>
      <c r="O24" s="5"/>
    </row>
    <row r="25" spans="2:15" s="2" customFormat="1" ht="15" customHeight="1" x14ac:dyDescent="0.15">
      <c r="J25" s="14"/>
      <c r="K25" s="15"/>
      <c r="L25" s="14"/>
      <c r="M25" s="23"/>
      <c r="N25" s="23"/>
      <c r="O25" s="5"/>
    </row>
    <row r="26" spans="2:15" s="2" customFormat="1" ht="15" customHeight="1" x14ac:dyDescent="0.15">
      <c r="J26" s="14"/>
      <c r="K26" s="15"/>
      <c r="L26" s="14"/>
      <c r="M26" s="23"/>
      <c r="N26" s="23"/>
      <c r="O26" s="5"/>
    </row>
    <row r="27" spans="2:15" s="2" customFormat="1" ht="15" customHeight="1" x14ac:dyDescent="0.15">
      <c r="J27" s="14"/>
      <c r="K27" s="15"/>
      <c r="L27" s="14"/>
      <c r="M27" s="23"/>
      <c r="N27" s="23"/>
      <c r="O27" s="5"/>
    </row>
    <row r="28" spans="2:15" s="2" customFormat="1" ht="15" customHeight="1" x14ac:dyDescent="0.15">
      <c r="J28" s="14"/>
      <c r="K28" s="15"/>
      <c r="L28" s="14"/>
      <c r="M28" s="23"/>
      <c r="N28" s="23"/>
      <c r="O28" s="5"/>
    </row>
    <row r="29" spans="2:15" s="2" customFormat="1" ht="15" customHeight="1" x14ac:dyDescent="0.15">
      <c r="J29" s="14"/>
      <c r="K29" s="15"/>
      <c r="L29" s="14"/>
      <c r="M29" s="23"/>
      <c r="N29" s="23"/>
      <c r="O29" s="5"/>
    </row>
    <row r="30" spans="2:15" s="2" customFormat="1" ht="15" customHeight="1" x14ac:dyDescent="0.15">
      <c r="J30" s="14"/>
      <c r="K30" s="15"/>
      <c r="L30" s="14"/>
      <c r="M30" s="23"/>
      <c r="N30" s="23"/>
      <c r="O30" s="5"/>
    </row>
    <row r="31" spans="2:15" s="2" customFormat="1" ht="15" customHeight="1" x14ac:dyDescent="0.15">
      <c r="J31" s="14"/>
      <c r="K31" s="15"/>
      <c r="L31" s="14"/>
      <c r="M31" s="14"/>
      <c r="N31" s="14"/>
      <c r="O31" s="5"/>
    </row>
    <row r="32" spans="2:15" s="2" customFormat="1" ht="15" customHeight="1" x14ac:dyDescent="0.15">
      <c r="J32" s="14"/>
      <c r="K32" s="15"/>
      <c r="L32" s="14"/>
      <c r="M32" s="14"/>
      <c r="N32" s="14"/>
      <c r="O32" s="5"/>
    </row>
    <row r="33" spans="2:15" ht="18" customHeight="1" x14ac:dyDescent="0.15">
      <c r="B33" s="16" t="s">
        <v>13</v>
      </c>
      <c r="C33" s="16"/>
      <c r="D33" s="4"/>
      <c r="E33" s="2"/>
      <c r="F33" s="2" t="s">
        <v>35</v>
      </c>
      <c r="G33" s="2"/>
      <c r="H33" s="2"/>
      <c r="N33" s="2" t="s">
        <v>14</v>
      </c>
      <c r="O33" s="17">
        <f ca="1">TODAY()</f>
        <v>46210</v>
      </c>
    </row>
    <row r="34" spans="2:15" ht="28.5" customHeight="1" x14ac:dyDescent="0.15">
      <c r="B34" s="35" t="s">
        <v>33</v>
      </c>
      <c r="C34" s="36"/>
      <c r="D34" s="36"/>
      <c r="E34" s="36"/>
      <c r="F34" s="36"/>
      <c r="G34" s="36"/>
      <c r="H34" s="36"/>
      <c r="I34" s="36"/>
      <c r="J34" s="36"/>
      <c r="K34" s="36"/>
      <c r="L34" s="36"/>
      <c r="M34" s="36"/>
      <c r="N34" s="36"/>
      <c r="O34" s="37"/>
    </row>
  </sheetData>
  <mergeCells count="31">
    <mergeCell ref="M27:N27"/>
    <mergeCell ref="M28:N28"/>
    <mergeCell ref="M29:N29"/>
    <mergeCell ref="M30:N30"/>
    <mergeCell ref="B34:O34"/>
    <mergeCell ref="M21:N21"/>
    <mergeCell ref="M22:N22"/>
    <mergeCell ref="M23:N23"/>
    <mergeCell ref="M24:N24"/>
    <mergeCell ref="M25:N25"/>
    <mergeCell ref="M26:N26"/>
    <mergeCell ref="M14:O14"/>
    <mergeCell ref="B17:O17"/>
    <mergeCell ref="B19:D20"/>
    <mergeCell ref="F19:H20"/>
    <mergeCell ref="M19:N20"/>
    <mergeCell ref="O19:O20"/>
    <mergeCell ref="D11:I11"/>
    <mergeCell ref="M11:O11"/>
    <mergeCell ref="D12:I12"/>
    <mergeCell ref="M12:O12"/>
    <mergeCell ref="D13:I13"/>
    <mergeCell ref="M13:O13"/>
    <mergeCell ref="B3:O3"/>
    <mergeCell ref="D5:I5"/>
    <mergeCell ref="D6:J6"/>
    <mergeCell ref="D8:I8"/>
    <mergeCell ref="M8:O8"/>
    <mergeCell ref="D9:I9"/>
    <mergeCell ref="M9:O10"/>
    <mergeCell ref="D10:I10"/>
  </mergeCells>
  <phoneticPr fontId="1" type="noConversion"/>
  <pageMargins left="0.9055118110236221" right="0.70866141732283472" top="0.19685039370078741" bottom="0.23622047244094491" header="0.15748031496062992" footer="0.15748031496062992"/>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950BB-5B50-413D-B9EA-D145A0817F8D}">
  <dimension ref="B1:O34"/>
  <sheetViews>
    <sheetView zoomScaleNormal="100" zoomScaleSheetLayoutView="130" workbookViewId="0">
      <selection activeCell="S10" sqref="S10"/>
    </sheetView>
  </sheetViews>
  <sheetFormatPr defaultColWidth="8.88671875" defaultRowHeight="18" customHeight="1" x14ac:dyDescent="0.15"/>
  <cols>
    <col min="1" max="1" width="1.21875" style="1" customWidth="1"/>
    <col min="2" max="3" width="8.88671875" style="1"/>
    <col min="4" max="4" width="8" style="1" customWidth="1"/>
    <col min="5" max="5" width="6.21875" style="1" customWidth="1"/>
    <col min="6" max="6" width="8.88671875" style="1"/>
    <col min="7" max="8" width="6.21875" style="1" customWidth="1"/>
    <col min="9" max="9" width="2.33203125" style="1" customWidth="1"/>
    <col min="10" max="10" width="9.77734375" style="1" customWidth="1"/>
    <col min="11" max="11" width="9.5546875" style="1" customWidth="1"/>
    <col min="12" max="12" width="9.21875" style="1" customWidth="1"/>
    <col min="13" max="14" width="6.33203125" style="1" customWidth="1"/>
    <col min="15" max="15" width="7.6640625" style="1" customWidth="1"/>
    <col min="16" max="16" width="7.5546875" style="1" customWidth="1"/>
    <col min="17" max="16384" width="8.88671875" style="1"/>
  </cols>
  <sheetData>
    <row r="1" spans="2:15" ht="31.5" customHeight="1" x14ac:dyDescent="0.15">
      <c r="B1" s="18" t="s">
        <v>36</v>
      </c>
      <c r="C1" s="18" t="s">
        <v>83</v>
      </c>
    </row>
    <row r="2" spans="2:15" ht="31.5" customHeight="1" x14ac:dyDescent="0.15">
      <c r="B2" s="18"/>
    </row>
    <row r="3" spans="2:15" ht="30.75" customHeight="1" x14ac:dyDescent="0.15">
      <c r="B3" s="21" t="s">
        <v>0</v>
      </c>
      <c r="C3" s="21"/>
      <c r="D3" s="21"/>
      <c r="E3" s="21"/>
      <c r="F3" s="21"/>
      <c r="G3" s="21"/>
      <c r="H3" s="21"/>
      <c r="I3" s="21"/>
      <c r="J3" s="21"/>
      <c r="K3" s="21"/>
      <c r="L3" s="21"/>
      <c r="M3" s="21"/>
      <c r="N3" s="21"/>
      <c r="O3" s="21"/>
    </row>
    <row r="4" spans="2:15" ht="6.75" customHeight="1" x14ac:dyDescent="0.15"/>
    <row r="5" spans="2:15" s="2" customFormat="1" ht="14.25" customHeight="1" x14ac:dyDescent="0.15">
      <c r="B5" s="2" t="s">
        <v>1</v>
      </c>
      <c r="D5" s="22">
        <v>5348844</v>
      </c>
      <c r="E5" s="22"/>
      <c r="F5" s="22"/>
      <c r="G5" s="22"/>
      <c r="H5" s="22"/>
      <c r="I5" s="22"/>
      <c r="K5" s="2" t="s">
        <v>16</v>
      </c>
    </row>
    <row r="6" spans="2:15" s="2" customFormat="1" ht="14.25" customHeight="1" x14ac:dyDescent="0.15">
      <c r="B6" s="2" t="s">
        <v>17</v>
      </c>
      <c r="D6" s="22" t="s">
        <v>84</v>
      </c>
      <c r="E6" s="22"/>
      <c r="F6" s="22"/>
      <c r="G6" s="22"/>
      <c r="H6" s="22"/>
      <c r="I6" s="22"/>
      <c r="J6" s="22"/>
      <c r="K6" s="2" t="s">
        <v>18</v>
      </c>
      <c r="M6" s="2" t="s">
        <v>34</v>
      </c>
    </row>
    <row r="7" spans="2:15" ht="20.25" customHeight="1" x14ac:dyDescent="0.15">
      <c r="B7" s="3" t="s">
        <v>19</v>
      </c>
      <c r="D7" s="4"/>
      <c r="E7" s="4"/>
      <c r="F7" s="4"/>
      <c r="G7" s="4"/>
      <c r="H7" s="4"/>
      <c r="I7" s="4"/>
      <c r="K7" s="3" t="s">
        <v>20</v>
      </c>
    </row>
    <row r="8" spans="2:15" s="2" customFormat="1" ht="14.25" customHeight="1" x14ac:dyDescent="0.15">
      <c r="B8" s="2" t="s">
        <v>2</v>
      </c>
      <c r="D8" s="22" t="s">
        <v>85</v>
      </c>
      <c r="E8" s="22"/>
      <c r="F8" s="22"/>
      <c r="G8" s="22"/>
      <c r="H8" s="22"/>
      <c r="I8" s="22"/>
      <c r="K8" s="2" t="s">
        <v>22</v>
      </c>
      <c r="M8" s="22" t="s">
        <v>75</v>
      </c>
      <c r="N8" s="22"/>
      <c r="O8" s="22"/>
    </row>
    <row r="9" spans="2:15" s="2" customFormat="1" ht="14.25" customHeight="1" x14ac:dyDescent="0.15">
      <c r="B9" s="2" t="s">
        <v>3</v>
      </c>
      <c r="D9" s="19" t="s">
        <v>86</v>
      </c>
      <c r="E9" s="19"/>
      <c r="F9" s="19"/>
      <c r="G9" s="19"/>
      <c r="H9" s="19"/>
      <c r="I9" s="19"/>
      <c r="K9" s="2" t="s">
        <v>4</v>
      </c>
      <c r="M9" s="20" t="s">
        <v>68</v>
      </c>
      <c r="N9" s="20"/>
      <c r="O9" s="20"/>
    </row>
    <row r="10" spans="2:15" s="2" customFormat="1" ht="14.25" customHeight="1" x14ac:dyDescent="0.15">
      <c r="B10" s="2" t="s">
        <v>25</v>
      </c>
      <c r="D10" s="19" t="s">
        <v>87</v>
      </c>
      <c r="E10" s="19"/>
      <c r="F10" s="19"/>
      <c r="G10" s="19"/>
      <c r="H10" s="19"/>
      <c r="I10" s="19"/>
      <c r="M10" s="20"/>
      <c r="N10" s="20"/>
      <c r="O10" s="20"/>
    </row>
    <row r="11" spans="2:15" s="2" customFormat="1" ht="14.25" customHeight="1" x14ac:dyDescent="0.15">
      <c r="B11" s="2" t="s">
        <v>26</v>
      </c>
      <c r="D11" s="22" t="s">
        <v>82</v>
      </c>
      <c r="E11" s="22"/>
      <c r="F11" s="22"/>
      <c r="G11" s="22"/>
      <c r="H11" s="22"/>
      <c r="I11" s="22"/>
      <c r="K11" s="2" t="s">
        <v>27</v>
      </c>
      <c r="M11" s="22"/>
      <c r="N11" s="22"/>
      <c r="O11" s="22"/>
    </row>
    <row r="12" spans="2:15" s="2" customFormat="1" ht="14.25" customHeight="1" x14ac:dyDescent="0.15">
      <c r="D12" s="22"/>
      <c r="E12" s="22"/>
      <c r="F12" s="22"/>
      <c r="G12" s="22"/>
      <c r="H12" s="22"/>
      <c r="I12" s="22"/>
      <c r="K12" s="2" t="s">
        <v>28</v>
      </c>
      <c r="M12" s="22"/>
      <c r="N12" s="22"/>
      <c r="O12" s="22"/>
    </row>
    <row r="13" spans="2:15" s="2" customFormat="1" ht="14.25" customHeight="1" x14ac:dyDescent="0.15">
      <c r="B13" s="2" t="s">
        <v>39</v>
      </c>
      <c r="D13" s="22" t="s">
        <v>77</v>
      </c>
      <c r="E13" s="22"/>
      <c r="F13" s="22"/>
      <c r="G13" s="22"/>
      <c r="H13" s="22"/>
      <c r="I13" s="22"/>
      <c r="K13" s="2" t="s">
        <v>5</v>
      </c>
      <c r="M13" s="22"/>
      <c r="N13" s="22"/>
      <c r="O13" s="22"/>
    </row>
    <row r="14" spans="2:15" s="2" customFormat="1" ht="14.25" customHeight="1" x14ac:dyDescent="0.15">
      <c r="B14" s="2" t="s">
        <v>6</v>
      </c>
      <c r="M14" s="22"/>
      <c r="N14" s="22"/>
      <c r="O14" s="22"/>
    </row>
    <row r="15" spans="2:15" s="2" customFormat="1" ht="9" customHeight="1" x14ac:dyDescent="0.15">
      <c r="M15" s="5"/>
      <c r="N15" s="5"/>
      <c r="O15" s="5"/>
    </row>
    <row r="16" spans="2:15" s="2" customFormat="1" ht="9" customHeight="1" x14ac:dyDescent="0.15">
      <c r="M16" s="5"/>
      <c r="N16" s="5"/>
      <c r="O16" s="5"/>
    </row>
    <row r="17" spans="2:15" ht="24.75" customHeight="1" x14ac:dyDescent="0.15">
      <c r="B17" s="24" t="s">
        <v>7</v>
      </c>
      <c r="C17" s="25"/>
      <c r="D17" s="25"/>
      <c r="E17" s="25"/>
      <c r="F17" s="25"/>
      <c r="G17" s="25"/>
      <c r="H17" s="25"/>
      <c r="I17" s="25"/>
      <c r="J17" s="25"/>
      <c r="K17" s="25"/>
      <c r="L17" s="25"/>
      <c r="M17" s="25"/>
      <c r="N17" s="25"/>
      <c r="O17" s="26"/>
    </row>
    <row r="18" spans="2:15" ht="4.5" customHeight="1" x14ac:dyDescent="0.15"/>
    <row r="19" spans="2:15" s="10" customFormat="1" ht="17.25" customHeight="1" x14ac:dyDescent="0.2">
      <c r="B19" s="27" t="s">
        <v>30</v>
      </c>
      <c r="C19" s="28"/>
      <c r="D19" s="28"/>
      <c r="E19" s="6"/>
      <c r="F19" s="28" t="s">
        <v>8</v>
      </c>
      <c r="G19" s="28"/>
      <c r="H19" s="28"/>
      <c r="I19" s="7"/>
      <c r="J19" s="8"/>
      <c r="K19" s="9" t="s">
        <v>9</v>
      </c>
      <c r="L19" s="9"/>
      <c r="M19" s="31" t="s">
        <v>10</v>
      </c>
      <c r="N19" s="31"/>
      <c r="O19" s="33" t="s">
        <v>11</v>
      </c>
    </row>
    <row r="20" spans="2:15" s="10" customFormat="1" ht="17.25" customHeight="1" x14ac:dyDescent="0.15">
      <c r="B20" s="29"/>
      <c r="C20" s="30"/>
      <c r="D20" s="30"/>
      <c r="E20" s="11"/>
      <c r="F20" s="30"/>
      <c r="G20" s="30"/>
      <c r="H20" s="30"/>
      <c r="I20" s="12"/>
      <c r="J20" s="12" t="s">
        <v>31</v>
      </c>
      <c r="K20" s="13"/>
      <c r="L20" s="13" t="s">
        <v>12</v>
      </c>
      <c r="M20" s="32"/>
      <c r="N20" s="32"/>
      <c r="O20" s="34"/>
    </row>
    <row r="21" spans="2:15" s="2" customFormat="1" ht="15" customHeight="1" x14ac:dyDescent="0.15">
      <c r="B21" s="2" t="s">
        <v>47</v>
      </c>
      <c r="F21" s="2" t="s">
        <v>48</v>
      </c>
      <c r="J21" s="14">
        <v>95</v>
      </c>
      <c r="K21" s="15"/>
      <c r="L21" s="14">
        <v>100</v>
      </c>
      <c r="M21" s="23">
        <v>97.5</v>
      </c>
      <c r="N21" s="23"/>
      <c r="O21" s="5" t="s">
        <v>49</v>
      </c>
    </row>
    <row r="22" spans="2:15" s="2" customFormat="1" ht="15" customHeight="1" x14ac:dyDescent="0.15">
      <c r="B22" s="2" t="s">
        <v>50</v>
      </c>
      <c r="F22" s="2" t="s">
        <v>51</v>
      </c>
      <c r="J22" s="14">
        <v>4</v>
      </c>
      <c r="K22" s="15"/>
      <c r="L22" s="14">
        <v>6</v>
      </c>
      <c r="M22" s="23">
        <v>6</v>
      </c>
      <c r="N22" s="23"/>
      <c r="O22" s="5" t="s">
        <v>52</v>
      </c>
    </row>
    <row r="23" spans="2:15" s="2" customFormat="1" ht="15" customHeight="1" x14ac:dyDescent="0.15">
      <c r="B23" s="2" t="s">
        <v>53</v>
      </c>
      <c r="F23" s="2" t="s">
        <v>54</v>
      </c>
      <c r="J23" s="14">
        <v>1.1220000000000001</v>
      </c>
      <c r="K23" s="15"/>
      <c r="L23" s="14">
        <v>1.1819999999999999</v>
      </c>
      <c r="M23" s="23">
        <v>1.181</v>
      </c>
      <c r="N23" s="23"/>
      <c r="O23" s="5" t="s">
        <v>55</v>
      </c>
    </row>
    <row r="24" spans="2:15" s="2" customFormat="1" ht="15" customHeight="1" x14ac:dyDescent="0.15">
      <c r="J24" s="14"/>
      <c r="K24" s="15"/>
      <c r="L24" s="14"/>
      <c r="M24" s="23"/>
      <c r="N24" s="23"/>
      <c r="O24" s="5"/>
    </row>
    <row r="25" spans="2:15" s="2" customFormat="1" ht="15" customHeight="1" x14ac:dyDescent="0.15">
      <c r="J25" s="14"/>
      <c r="K25" s="15"/>
      <c r="L25" s="14"/>
      <c r="M25" s="23"/>
      <c r="N25" s="23"/>
      <c r="O25" s="5"/>
    </row>
    <row r="26" spans="2:15" s="2" customFormat="1" ht="15" customHeight="1" x14ac:dyDescent="0.15">
      <c r="J26" s="14"/>
      <c r="K26" s="15"/>
      <c r="L26" s="14"/>
      <c r="M26" s="23"/>
      <c r="N26" s="23"/>
      <c r="O26" s="5"/>
    </row>
    <row r="27" spans="2:15" s="2" customFormat="1" ht="15" customHeight="1" x14ac:dyDescent="0.15">
      <c r="J27" s="14"/>
      <c r="K27" s="15"/>
      <c r="L27" s="14"/>
      <c r="M27" s="23"/>
      <c r="N27" s="23"/>
      <c r="O27" s="5"/>
    </row>
    <row r="28" spans="2:15" s="2" customFormat="1" ht="15" customHeight="1" x14ac:dyDescent="0.15">
      <c r="J28" s="14"/>
      <c r="K28" s="15"/>
      <c r="L28" s="14"/>
      <c r="M28" s="23"/>
      <c r="N28" s="23"/>
      <c r="O28" s="5"/>
    </row>
    <row r="29" spans="2:15" s="2" customFormat="1" ht="15" customHeight="1" x14ac:dyDescent="0.15">
      <c r="J29" s="14"/>
      <c r="K29" s="15"/>
      <c r="L29" s="14"/>
      <c r="M29" s="23"/>
      <c r="N29" s="23"/>
      <c r="O29" s="5"/>
    </row>
    <row r="30" spans="2:15" s="2" customFormat="1" ht="15" customHeight="1" x14ac:dyDescent="0.15">
      <c r="J30" s="14"/>
      <c r="K30" s="15"/>
      <c r="L30" s="14"/>
      <c r="M30" s="23"/>
      <c r="N30" s="23"/>
      <c r="O30" s="5"/>
    </row>
    <row r="31" spans="2:15" s="2" customFormat="1" ht="15" customHeight="1" x14ac:dyDescent="0.15">
      <c r="J31" s="14"/>
      <c r="K31" s="15"/>
      <c r="L31" s="14"/>
      <c r="M31" s="14"/>
      <c r="N31" s="14"/>
      <c r="O31" s="5"/>
    </row>
    <row r="32" spans="2:15" s="2" customFormat="1" ht="15" customHeight="1" x14ac:dyDescent="0.15">
      <c r="J32" s="14"/>
      <c r="K32" s="15"/>
      <c r="L32" s="14"/>
      <c r="M32" s="14"/>
      <c r="N32" s="14"/>
      <c r="O32" s="5"/>
    </row>
    <row r="33" spans="2:15" ht="18" customHeight="1" x14ac:dyDescent="0.15">
      <c r="B33" s="16" t="s">
        <v>13</v>
      </c>
      <c r="C33" s="16"/>
      <c r="D33" s="4"/>
      <c r="E33" s="2"/>
      <c r="F33" s="2" t="s">
        <v>35</v>
      </c>
      <c r="G33" s="2"/>
      <c r="H33" s="2"/>
      <c r="N33" s="2" t="s">
        <v>14</v>
      </c>
      <c r="O33" s="17">
        <f ca="1">TODAY()</f>
        <v>46210</v>
      </c>
    </row>
    <row r="34" spans="2:15" ht="28.5" customHeight="1" x14ac:dyDescent="0.15">
      <c r="B34" s="35" t="s">
        <v>33</v>
      </c>
      <c r="C34" s="36"/>
      <c r="D34" s="36"/>
      <c r="E34" s="36"/>
      <c r="F34" s="36"/>
      <c r="G34" s="36"/>
      <c r="H34" s="36"/>
      <c r="I34" s="36"/>
      <c r="J34" s="36"/>
      <c r="K34" s="36"/>
      <c r="L34" s="36"/>
      <c r="M34" s="36"/>
      <c r="N34" s="36"/>
      <c r="O34" s="37"/>
    </row>
  </sheetData>
  <mergeCells count="31">
    <mergeCell ref="M27:N27"/>
    <mergeCell ref="M28:N28"/>
    <mergeCell ref="M29:N29"/>
    <mergeCell ref="M30:N30"/>
    <mergeCell ref="B34:O34"/>
    <mergeCell ref="M21:N21"/>
    <mergeCell ref="M22:N22"/>
    <mergeCell ref="M23:N23"/>
    <mergeCell ref="M24:N24"/>
    <mergeCell ref="M25:N25"/>
    <mergeCell ref="M26:N26"/>
    <mergeCell ref="M14:O14"/>
    <mergeCell ref="B17:O17"/>
    <mergeCell ref="B19:D20"/>
    <mergeCell ref="F19:H20"/>
    <mergeCell ref="M19:N20"/>
    <mergeCell ref="O19:O20"/>
    <mergeCell ref="D11:I11"/>
    <mergeCell ref="M11:O11"/>
    <mergeCell ref="D12:I12"/>
    <mergeCell ref="M12:O12"/>
    <mergeCell ref="D13:I13"/>
    <mergeCell ref="M13:O13"/>
    <mergeCell ref="B3:O3"/>
    <mergeCell ref="D5:I5"/>
    <mergeCell ref="D6:J6"/>
    <mergeCell ref="D8:I8"/>
    <mergeCell ref="M8:O8"/>
    <mergeCell ref="D9:I9"/>
    <mergeCell ref="M9:O10"/>
    <mergeCell ref="D10:I10"/>
  </mergeCells>
  <phoneticPr fontId="1" type="noConversion"/>
  <pageMargins left="0.9055118110236221" right="0.70866141732283472" top="0.19685039370078741" bottom="0.23622047244094491" header="0.15748031496062992" footer="0.15748031496062992"/>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61062-B188-4FE4-A6ED-54767636A630}">
  <dimension ref="B1:O34"/>
  <sheetViews>
    <sheetView tabSelected="1" zoomScaleNormal="100" zoomScaleSheetLayoutView="130" workbookViewId="0">
      <selection activeCell="S10" sqref="S10"/>
    </sheetView>
  </sheetViews>
  <sheetFormatPr defaultColWidth="8.88671875" defaultRowHeight="18" customHeight="1" x14ac:dyDescent="0.15"/>
  <cols>
    <col min="1" max="1" width="1.21875" style="1" customWidth="1"/>
    <col min="2" max="3" width="8.88671875" style="1"/>
    <col min="4" max="4" width="8" style="1" customWidth="1"/>
    <col min="5" max="5" width="6.21875" style="1" customWidth="1"/>
    <col min="6" max="6" width="8.88671875" style="1"/>
    <col min="7" max="8" width="6.21875" style="1" customWidth="1"/>
    <col min="9" max="9" width="2.33203125" style="1" customWidth="1"/>
    <col min="10" max="10" width="9.77734375" style="1" customWidth="1"/>
    <col min="11" max="11" width="9.5546875" style="1" customWidth="1"/>
    <col min="12" max="12" width="9.21875" style="1" customWidth="1"/>
    <col min="13" max="14" width="6.33203125" style="1" customWidth="1"/>
    <col min="15" max="15" width="7.6640625" style="1" customWidth="1"/>
    <col min="16" max="16" width="7.5546875" style="1" customWidth="1"/>
    <col min="17" max="16384" width="8.88671875" style="1"/>
  </cols>
  <sheetData>
    <row r="1" spans="2:15" ht="31.5" customHeight="1" x14ac:dyDescent="0.15">
      <c r="B1" s="18" t="s">
        <v>36</v>
      </c>
      <c r="C1" s="18" t="s">
        <v>88</v>
      </c>
    </row>
    <row r="2" spans="2:15" ht="31.5" customHeight="1" x14ac:dyDescent="0.15">
      <c r="B2" s="18"/>
    </row>
    <row r="3" spans="2:15" ht="30.75" customHeight="1" x14ac:dyDescent="0.15">
      <c r="B3" s="21" t="s">
        <v>0</v>
      </c>
      <c r="C3" s="21"/>
      <c r="D3" s="21"/>
      <c r="E3" s="21"/>
      <c r="F3" s="21"/>
      <c r="G3" s="21"/>
      <c r="H3" s="21"/>
      <c r="I3" s="21"/>
      <c r="J3" s="21"/>
      <c r="K3" s="21"/>
      <c r="L3" s="21"/>
      <c r="M3" s="21"/>
      <c r="N3" s="21"/>
      <c r="O3" s="21"/>
    </row>
    <row r="4" spans="2:15" ht="6.75" customHeight="1" x14ac:dyDescent="0.15"/>
    <row r="5" spans="2:15" s="2" customFormat="1" ht="14.25" customHeight="1" x14ac:dyDescent="0.15">
      <c r="B5" s="2" t="s">
        <v>1</v>
      </c>
      <c r="D5" s="22">
        <v>5551814</v>
      </c>
      <c r="E5" s="22"/>
      <c r="F5" s="22"/>
      <c r="G5" s="22"/>
      <c r="H5" s="22"/>
      <c r="I5" s="22"/>
      <c r="K5" s="2" t="s">
        <v>16</v>
      </c>
    </row>
    <row r="6" spans="2:15" s="2" customFormat="1" ht="14.25" customHeight="1" x14ac:dyDescent="0.15">
      <c r="B6" s="2" t="s">
        <v>17</v>
      </c>
      <c r="D6" s="22" t="s">
        <v>89</v>
      </c>
      <c r="E6" s="22"/>
      <c r="F6" s="22"/>
      <c r="G6" s="22"/>
      <c r="H6" s="22"/>
      <c r="I6" s="22"/>
      <c r="J6" s="22"/>
      <c r="K6" s="2" t="s">
        <v>18</v>
      </c>
      <c r="M6" s="2" t="s">
        <v>34</v>
      </c>
    </row>
    <row r="7" spans="2:15" ht="20.25" customHeight="1" x14ac:dyDescent="0.15">
      <c r="B7" s="3" t="s">
        <v>19</v>
      </c>
      <c r="D7" s="4"/>
      <c r="E7" s="4"/>
      <c r="F7" s="4"/>
      <c r="G7" s="4"/>
      <c r="H7" s="4"/>
      <c r="I7" s="4"/>
      <c r="K7" s="3" t="s">
        <v>20</v>
      </c>
    </row>
    <row r="8" spans="2:15" s="2" customFormat="1" ht="14.25" customHeight="1" x14ac:dyDescent="0.15">
      <c r="B8" s="2" t="s">
        <v>2</v>
      </c>
      <c r="D8" s="22" t="s">
        <v>90</v>
      </c>
      <c r="E8" s="22"/>
      <c r="F8" s="22"/>
      <c r="G8" s="22"/>
      <c r="H8" s="22"/>
      <c r="I8" s="22"/>
      <c r="K8" s="2" t="s">
        <v>22</v>
      </c>
      <c r="M8" s="22" t="s">
        <v>94</v>
      </c>
      <c r="N8" s="22"/>
      <c r="O8" s="22"/>
    </row>
    <row r="9" spans="2:15" s="2" customFormat="1" ht="14.25" customHeight="1" x14ac:dyDescent="0.15">
      <c r="B9" s="2" t="s">
        <v>3</v>
      </c>
      <c r="D9" s="19" t="s">
        <v>91</v>
      </c>
      <c r="E9" s="19"/>
      <c r="F9" s="19"/>
      <c r="G9" s="19"/>
      <c r="H9" s="19"/>
      <c r="I9" s="19"/>
      <c r="K9" s="2" t="s">
        <v>4</v>
      </c>
      <c r="M9" s="20" t="s">
        <v>68</v>
      </c>
      <c r="N9" s="20"/>
      <c r="O9" s="20"/>
    </row>
    <row r="10" spans="2:15" s="2" customFormat="1" ht="14.25" customHeight="1" x14ac:dyDescent="0.15">
      <c r="B10" s="2" t="s">
        <v>25</v>
      </c>
      <c r="D10" s="19" t="s">
        <v>92</v>
      </c>
      <c r="E10" s="19"/>
      <c r="F10" s="19"/>
      <c r="G10" s="19"/>
      <c r="H10" s="19"/>
      <c r="I10" s="19"/>
      <c r="M10" s="20"/>
      <c r="N10" s="20"/>
      <c r="O10" s="20"/>
    </row>
    <row r="11" spans="2:15" s="2" customFormat="1" ht="14.25" customHeight="1" x14ac:dyDescent="0.15">
      <c r="B11" s="2" t="s">
        <v>26</v>
      </c>
      <c r="D11" s="22" t="s">
        <v>93</v>
      </c>
      <c r="E11" s="22"/>
      <c r="F11" s="22"/>
      <c r="G11" s="22"/>
      <c r="H11" s="22"/>
      <c r="I11" s="22"/>
      <c r="K11" s="2" t="s">
        <v>27</v>
      </c>
      <c r="M11" s="22"/>
      <c r="N11" s="22"/>
      <c r="O11" s="22"/>
    </row>
    <row r="12" spans="2:15" s="2" customFormat="1" ht="14.25" customHeight="1" x14ac:dyDescent="0.15">
      <c r="D12" s="22"/>
      <c r="E12" s="22"/>
      <c r="F12" s="22"/>
      <c r="G12" s="22"/>
      <c r="H12" s="22"/>
      <c r="I12" s="22"/>
      <c r="K12" s="2" t="s">
        <v>28</v>
      </c>
      <c r="M12" s="22"/>
      <c r="N12" s="22"/>
      <c r="O12" s="22"/>
    </row>
    <row r="13" spans="2:15" s="2" customFormat="1" ht="14.25" customHeight="1" x14ac:dyDescent="0.15">
      <c r="D13" s="22"/>
      <c r="E13" s="22"/>
      <c r="F13" s="22"/>
      <c r="G13" s="22"/>
      <c r="H13" s="22"/>
      <c r="I13" s="22"/>
      <c r="K13" s="2" t="s">
        <v>5</v>
      </c>
      <c r="M13" s="22"/>
      <c r="N13" s="22"/>
      <c r="O13" s="22"/>
    </row>
    <row r="14" spans="2:15" s="2" customFormat="1" ht="14.25" customHeight="1" x14ac:dyDescent="0.15">
      <c r="B14" s="2" t="s">
        <v>6</v>
      </c>
      <c r="M14" s="22"/>
      <c r="N14" s="22"/>
      <c r="O14" s="22"/>
    </row>
    <row r="15" spans="2:15" s="2" customFormat="1" ht="9" customHeight="1" x14ac:dyDescent="0.15">
      <c r="M15" s="5"/>
      <c r="N15" s="5"/>
      <c r="O15" s="5"/>
    </row>
    <row r="16" spans="2:15" s="2" customFormat="1" ht="9" customHeight="1" x14ac:dyDescent="0.15">
      <c r="M16" s="5"/>
      <c r="N16" s="5"/>
      <c r="O16" s="5"/>
    </row>
    <row r="17" spans="2:15" ht="24.75" customHeight="1" x14ac:dyDescent="0.15">
      <c r="B17" s="24" t="s">
        <v>7</v>
      </c>
      <c r="C17" s="25"/>
      <c r="D17" s="25"/>
      <c r="E17" s="25"/>
      <c r="F17" s="25"/>
      <c r="G17" s="25"/>
      <c r="H17" s="25"/>
      <c r="I17" s="25"/>
      <c r="J17" s="25"/>
      <c r="K17" s="25"/>
      <c r="L17" s="25"/>
      <c r="M17" s="25"/>
      <c r="N17" s="25"/>
      <c r="O17" s="26"/>
    </row>
    <row r="18" spans="2:15" ht="4.5" customHeight="1" x14ac:dyDescent="0.15"/>
    <row r="19" spans="2:15" s="10" customFormat="1" ht="17.25" customHeight="1" x14ac:dyDescent="0.2">
      <c r="B19" s="27" t="s">
        <v>30</v>
      </c>
      <c r="C19" s="28"/>
      <c r="D19" s="28"/>
      <c r="E19" s="6"/>
      <c r="F19" s="28" t="s">
        <v>8</v>
      </c>
      <c r="G19" s="28"/>
      <c r="H19" s="28"/>
      <c r="I19" s="7"/>
      <c r="J19" s="8"/>
      <c r="K19" s="9" t="s">
        <v>9</v>
      </c>
      <c r="L19" s="9"/>
      <c r="M19" s="31" t="s">
        <v>10</v>
      </c>
      <c r="N19" s="31"/>
      <c r="O19" s="33" t="s">
        <v>11</v>
      </c>
    </row>
    <row r="20" spans="2:15" s="10" customFormat="1" ht="17.25" customHeight="1" x14ac:dyDescent="0.15">
      <c r="B20" s="29"/>
      <c r="C20" s="30"/>
      <c r="D20" s="30"/>
      <c r="E20" s="11"/>
      <c r="F20" s="30"/>
      <c r="G20" s="30"/>
      <c r="H20" s="30"/>
      <c r="I20" s="12"/>
      <c r="J20" s="12" t="s">
        <v>31</v>
      </c>
      <c r="K20" s="13"/>
      <c r="L20" s="13" t="s">
        <v>12</v>
      </c>
      <c r="M20" s="32"/>
      <c r="N20" s="32"/>
      <c r="O20" s="34"/>
    </row>
    <row r="21" spans="2:15" s="2" customFormat="1" ht="15" customHeight="1" x14ac:dyDescent="0.15">
      <c r="B21" s="2" t="s">
        <v>47</v>
      </c>
      <c r="F21" s="2" t="s">
        <v>48</v>
      </c>
      <c r="J21" s="14">
        <v>75.900000000000006</v>
      </c>
      <c r="K21" s="15"/>
      <c r="L21" s="14">
        <v>81.900000000000006</v>
      </c>
      <c r="M21" s="23">
        <v>78.900000000000006</v>
      </c>
      <c r="N21" s="23"/>
      <c r="O21" s="5" t="s">
        <v>49</v>
      </c>
    </row>
    <row r="22" spans="2:15" s="2" customFormat="1" ht="15" customHeight="1" x14ac:dyDescent="0.15">
      <c r="B22" s="2" t="s">
        <v>95</v>
      </c>
      <c r="F22" s="2" t="s">
        <v>96</v>
      </c>
      <c r="J22" s="14"/>
      <c r="K22" s="15"/>
      <c r="L22" s="14"/>
      <c r="M22" s="23"/>
      <c r="N22" s="23"/>
      <c r="O22" s="5" t="s">
        <v>97</v>
      </c>
    </row>
    <row r="23" spans="2:15" s="2" customFormat="1" ht="15" customHeight="1" x14ac:dyDescent="0.15">
      <c r="B23" s="2" t="s">
        <v>50</v>
      </c>
      <c r="F23" s="2" t="s">
        <v>51</v>
      </c>
      <c r="J23" s="14">
        <v>4</v>
      </c>
      <c r="K23" s="15"/>
      <c r="L23" s="14">
        <v>6</v>
      </c>
      <c r="M23" s="23">
        <v>5.9</v>
      </c>
      <c r="N23" s="23"/>
      <c r="O23" s="5" t="s">
        <v>52</v>
      </c>
    </row>
    <row r="24" spans="2:15" s="2" customFormat="1" ht="15" customHeight="1" x14ac:dyDescent="0.15">
      <c r="B24" s="2" t="s">
        <v>53</v>
      </c>
      <c r="F24" s="2" t="s">
        <v>54</v>
      </c>
      <c r="J24" s="14">
        <v>1.41</v>
      </c>
      <c r="K24" s="15"/>
      <c r="L24" s="14">
        <v>1.47</v>
      </c>
      <c r="M24" s="23">
        <v>1.4510000000000001</v>
      </c>
      <c r="N24" s="23"/>
      <c r="O24" s="5" t="s">
        <v>55</v>
      </c>
    </row>
    <row r="25" spans="2:15" s="2" customFormat="1" ht="15" customHeight="1" x14ac:dyDescent="0.15">
      <c r="B25" s="2" t="s">
        <v>56</v>
      </c>
      <c r="F25" s="2" t="s">
        <v>57</v>
      </c>
      <c r="J25" s="14"/>
      <c r="K25" s="15"/>
      <c r="L25" s="14">
        <v>1.5</v>
      </c>
      <c r="M25" s="23">
        <v>1.5</v>
      </c>
      <c r="N25" s="23"/>
      <c r="O25" s="5" t="s">
        <v>58</v>
      </c>
    </row>
    <row r="26" spans="2:15" s="2" customFormat="1" ht="15" customHeight="1" x14ac:dyDescent="0.15">
      <c r="B26" s="2" t="s">
        <v>59</v>
      </c>
      <c r="F26" s="2" t="s">
        <v>57</v>
      </c>
      <c r="J26" s="14"/>
      <c r="K26" s="15"/>
      <c r="L26" s="14">
        <v>6</v>
      </c>
      <c r="M26" s="23">
        <v>6</v>
      </c>
      <c r="N26" s="23"/>
      <c r="O26" s="5" t="s">
        <v>58</v>
      </c>
    </row>
    <row r="27" spans="2:15" s="2" customFormat="1" ht="15" customHeight="1" x14ac:dyDescent="0.15">
      <c r="B27" s="2" t="s">
        <v>60</v>
      </c>
      <c r="F27" s="2" t="s">
        <v>61</v>
      </c>
      <c r="J27" s="14"/>
      <c r="K27" s="15"/>
      <c r="L27" s="14">
        <v>30</v>
      </c>
      <c r="M27" s="23">
        <v>30</v>
      </c>
      <c r="N27" s="23"/>
      <c r="O27" s="5" t="s">
        <v>62</v>
      </c>
    </row>
    <row r="28" spans="2:15" s="2" customFormat="1" ht="15" customHeight="1" x14ac:dyDescent="0.15">
      <c r="B28" s="2" t="s">
        <v>63</v>
      </c>
      <c r="F28" s="2" t="s">
        <v>64</v>
      </c>
      <c r="J28" s="14">
        <v>2</v>
      </c>
      <c r="K28" s="15"/>
      <c r="L28" s="14"/>
      <c r="M28" s="23">
        <v>2</v>
      </c>
      <c r="N28" s="23"/>
      <c r="O28" s="5" t="s">
        <v>58</v>
      </c>
    </row>
    <row r="29" spans="2:15" s="2" customFormat="1" ht="15" customHeight="1" x14ac:dyDescent="0.15">
      <c r="B29" s="2" t="s">
        <v>65</v>
      </c>
      <c r="F29" s="2" t="s">
        <v>66</v>
      </c>
      <c r="J29" s="14">
        <v>225</v>
      </c>
      <c r="K29" s="15"/>
      <c r="L29" s="14"/>
      <c r="M29" s="23">
        <v>250</v>
      </c>
      <c r="N29" s="23"/>
      <c r="O29" s="5" t="s">
        <v>62</v>
      </c>
    </row>
    <row r="30" spans="2:15" s="2" customFormat="1" ht="15" customHeight="1" x14ac:dyDescent="0.15">
      <c r="J30" s="14"/>
      <c r="K30" s="15"/>
      <c r="L30" s="14"/>
      <c r="M30" s="23"/>
      <c r="N30" s="23"/>
      <c r="O30" s="5"/>
    </row>
    <row r="31" spans="2:15" s="2" customFormat="1" ht="15" customHeight="1" x14ac:dyDescent="0.15">
      <c r="J31" s="14"/>
      <c r="K31" s="15"/>
      <c r="L31" s="14"/>
      <c r="M31" s="14"/>
      <c r="N31" s="14"/>
      <c r="O31" s="5"/>
    </row>
    <row r="32" spans="2:15" s="2" customFormat="1" ht="15" customHeight="1" x14ac:dyDescent="0.15">
      <c r="J32" s="14"/>
      <c r="K32" s="15"/>
      <c r="L32" s="14"/>
      <c r="M32" s="14"/>
      <c r="N32" s="14"/>
      <c r="O32" s="5"/>
    </row>
    <row r="33" spans="2:15" ht="18" customHeight="1" x14ac:dyDescent="0.15">
      <c r="B33" s="16" t="s">
        <v>13</v>
      </c>
      <c r="C33" s="16"/>
      <c r="D33" s="4"/>
      <c r="E33" s="2"/>
      <c r="F33" s="2" t="s">
        <v>35</v>
      </c>
      <c r="G33" s="2"/>
      <c r="H33" s="2"/>
      <c r="N33" s="2" t="s">
        <v>14</v>
      </c>
      <c r="O33" s="17">
        <f ca="1">TODAY()</f>
        <v>46210</v>
      </c>
    </row>
    <row r="34" spans="2:15" ht="28.5" customHeight="1" x14ac:dyDescent="0.15">
      <c r="B34" s="35" t="s">
        <v>33</v>
      </c>
      <c r="C34" s="36"/>
      <c r="D34" s="36"/>
      <c r="E34" s="36"/>
      <c r="F34" s="36"/>
      <c r="G34" s="36"/>
      <c r="H34" s="36"/>
      <c r="I34" s="36"/>
      <c r="J34" s="36"/>
      <c r="K34" s="36"/>
      <c r="L34" s="36"/>
      <c r="M34" s="36"/>
      <c r="N34" s="36"/>
      <c r="O34" s="37"/>
    </row>
  </sheetData>
  <mergeCells count="31">
    <mergeCell ref="M27:N27"/>
    <mergeCell ref="M28:N28"/>
    <mergeCell ref="M29:N29"/>
    <mergeCell ref="M30:N30"/>
    <mergeCell ref="B34:O34"/>
    <mergeCell ref="M21:N21"/>
    <mergeCell ref="M22:N22"/>
    <mergeCell ref="M23:N23"/>
    <mergeCell ref="M24:N24"/>
    <mergeCell ref="M25:N25"/>
    <mergeCell ref="M26:N26"/>
    <mergeCell ref="M14:O14"/>
    <mergeCell ref="B17:O17"/>
    <mergeCell ref="B19:D20"/>
    <mergeCell ref="F19:H20"/>
    <mergeCell ref="M19:N20"/>
    <mergeCell ref="O19:O20"/>
    <mergeCell ref="D11:I11"/>
    <mergeCell ref="M11:O11"/>
    <mergeCell ref="D12:I12"/>
    <mergeCell ref="M12:O12"/>
    <mergeCell ref="D13:I13"/>
    <mergeCell ref="M13:O13"/>
    <mergeCell ref="B3:O3"/>
    <mergeCell ref="D5:I5"/>
    <mergeCell ref="D6:J6"/>
    <mergeCell ref="D8:I8"/>
    <mergeCell ref="M8:O8"/>
    <mergeCell ref="D9:I9"/>
    <mergeCell ref="M9:O10"/>
    <mergeCell ref="D10:I10"/>
  </mergeCells>
  <phoneticPr fontId="1" type="noConversion"/>
  <pageMargins left="0.9055118110236221" right="0.70866141732283472" top="0.19685039370078741" bottom="0.23622047244094491" header="0.15748031496062992" footer="0.15748031496062992"/>
  <pageSetup paperSize="9" orientation="landscape" r:id="rId1"/>
  <drawing r:id="rId2"/>
</worksheet>
</file>

<file path=docMetadata/LabelInfo.xml><?xml version="1.0" encoding="utf-8"?>
<clbl:labelList xmlns:clbl="http://schemas.microsoft.com/office/2020/mipLabelMetadata">
  <clbl:label id="{bafec85b-e817-4277-86cb-66dc7d424280}" enabled="1" method="Standard" siteId="{aab2e961-1f45-4717-9a42-8f87802af9b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CoA-20260707-501-001</vt:lpstr>
      <vt:lpstr>CoA-20260707-501-002</vt:lpstr>
      <vt:lpstr>CoA-20260707-501-003</vt:lpstr>
      <vt:lpstr>CoA-20260707-501-004</vt:lpstr>
      <vt:lpstr>CoA-20260707-501-005</vt:lpstr>
    </vt:vector>
  </TitlesOfParts>
  <Company>ipk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wrlee</dc:creator>
  <cp:lastModifiedBy>주완 김</cp:lastModifiedBy>
  <cp:lastPrinted>2024-11-05T00:38:43Z</cp:lastPrinted>
  <dcterms:created xsi:type="dcterms:W3CDTF">2002-04-11T02:24:07Z</dcterms:created>
  <dcterms:modified xsi:type="dcterms:W3CDTF">2026-07-07T04:22:43Z</dcterms:modified>
</cp:coreProperties>
</file>