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zcnpo0317vn0001\IPK_PROG\NBPROJ\XLT\"/>
    </mc:Choice>
  </mc:AlternateContent>
  <xr:revisionPtr revIDLastSave="0" documentId="13_ncr:1_{60F7D39A-432B-47F4-BF98-07F94CC2812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7" r:id="rId1"/>
    <sheet name="Basic" sheetId="14" r:id="rId2"/>
    <sheet name="Sheet3" sheetId="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3" i="14" l="1"/>
  <c r="D32" i="14"/>
  <c r="D31" i="14"/>
  <c r="D30" i="14"/>
  <c r="D29" i="14"/>
  <c r="D28" i="14"/>
  <c r="D27" i="14"/>
  <c r="D26" i="14"/>
  <c r="D25" i="14"/>
  <c r="D24" i="14"/>
  <c r="D23" i="14"/>
  <c r="D22" i="14"/>
  <c r="D21" i="14"/>
  <c r="O33" i="7" l="1"/>
  <c r="D22" i="7" l="1"/>
  <c r="D23" i="7"/>
  <c r="D24" i="7"/>
  <c r="D25" i="7"/>
  <c r="D26" i="7"/>
  <c r="D27" i="7"/>
  <c r="D28" i="7"/>
  <c r="D29" i="7"/>
  <c r="D30" i="7"/>
  <c r="D31" i="7"/>
  <c r="D32" i="7"/>
  <c r="D21" i="7"/>
  <c r="B52" i="8" l="1"/>
</calcChain>
</file>

<file path=xl/sharedStrings.xml><?xml version="1.0" encoding="utf-8"?>
<sst xmlns="http://schemas.openxmlformats.org/spreadsheetml/2006/main" count="161" uniqueCount="130">
  <si>
    <t>Продукт:</t>
    <phoneticPr fontId="3" type="noConversion"/>
  </si>
  <si>
    <t>Описание продукта:</t>
  </si>
  <si>
    <t>Детали партии:</t>
  </si>
  <si>
    <t>Серийный номер:</t>
  </si>
  <si>
    <t>Дата производства:</t>
  </si>
  <si>
    <t>Дата окончания срока:</t>
  </si>
  <si>
    <t>Количество          :</t>
  </si>
  <si>
    <t>Условия хранения: в оригинальной закрытой таре, в защищенном от солнечного света месте.</t>
  </si>
  <si>
    <t>Производитель: International Paint (Korea) Ltd.</t>
  </si>
  <si>
    <t>Город: Аман-Гун</t>
  </si>
  <si>
    <t>Коммерческие детали:</t>
  </si>
  <si>
    <t>Цветовой код:</t>
  </si>
  <si>
    <t>Клиент:</t>
  </si>
  <si>
    <t>Номер заказа на продажу:</t>
  </si>
  <si>
    <t>Номер заказа клиента:</t>
  </si>
  <si>
    <t>Номер доставки:</t>
  </si>
  <si>
    <t>РЕЗУЛЬТАТЫ ГРУППОВЫХ ИСПЫТАНИЙ</t>
    <phoneticPr fontId="1" type="noConversion"/>
  </si>
  <si>
    <t>Характеристики</t>
    <phoneticPr fontId="3" type="noConversion"/>
  </si>
  <si>
    <t xml:space="preserve"> Метод</t>
    <phoneticPr fontId="1" type="noConversion"/>
  </si>
  <si>
    <t>Толерантность</t>
    <phoneticPr fontId="1" type="noConversion"/>
  </si>
  <si>
    <t>Ед. Изм</t>
    <phoneticPr fontId="1" type="noConversion"/>
  </si>
  <si>
    <t>Нижний предел</t>
    <phoneticPr fontId="3" type="noConversion"/>
  </si>
  <si>
    <t>Верхний предел</t>
    <phoneticPr fontId="1" type="noConversion"/>
  </si>
  <si>
    <t>Сертифицировано: Отделом контроля качества</t>
    <phoneticPr fontId="1" type="noConversion"/>
  </si>
  <si>
    <t>Подпись: Менеджер по качеству</t>
    <phoneticPr fontId="3" type="noConversion"/>
  </si>
  <si>
    <t>Дата выпуска:</t>
    <phoneticPr fontId="3" type="noConversion"/>
  </si>
  <si>
    <t>AkzoNobel подтверждает, что упомянутый выше продукт был произведен в соответствии со спецификацией. Результаты контроля качества копируются из соответствующей системы менеджмента качества AkzoNobel. Этот сертификат был обработан в электронном виде.</t>
    <phoneticPr fontId="3" type="noConversion"/>
  </si>
  <si>
    <t>함수</t>
    <phoneticPr fontId="3" type="noConversion"/>
  </si>
  <si>
    <t>Полученные
 результаты</t>
    <phoneticPr fontId="1" type="noConversion"/>
  </si>
  <si>
    <t xml:space="preserve"> Страна: Южная Корея</t>
    <phoneticPr fontId="3" type="noConversion"/>
  </si>
  <si>
    <t>VISCOSITY (B4 FLOW CUP)</t>
  </si>
  <si>
    <t>Вязкость (воронка B4)</t>
  </si>
  <si>
    <t>VISCOSITY (ROTOTHINNER)</t>
  </si>
  <si>
    <t>Вязкость (ротационный вискозиметр)</t>
  </si>
  <si>
    <t>VISCOSITY (CONE &amp; PLATE)</t>
  </si>
  <si>
    <t>Вязкость (конус и пластина)</t>
  </si>
  <si>
    <t>VISCOSITY (STORMER)</t>
  </si>
  <si>
    <t>Вязкость (вискозиметр Штормера)</t>
  </si>
  <si>
    <t>VISCOSITY (BROOKFIELD RVT-FILLERS)</t>
  </si>
  <si>
    <t>Вязкость (вискозиметр Брукфильда RVT- наполнителей)</t>
  </si>
  <si>
    <t>VISCOSITY (BROOKFIELD) @ 25ºC</t>
  </si>
  <si>
    <t>Вязкость (Ротационный вискозиметр Брукфильда) при 25ºC</t>
  </si>
  <si>
    <t>VISCOSITY (BROOKFIELD) @ 38ºC</t>
  </si>
  <si>
    <t>Вязкость (Ротационный вискозиметр Брукфильда) при 38ºC</t>
  </si>
  <si>
    <t>FINENESS OF GRIND</t>
  </si>
  <si>
    <t>Степень перетира</t>
  </si>
  <si>
    <t>SPECIFIC GRAVITY (WEIGHT PER GALLON CUP)</t>
  </si>
  <si>
    <t>Удельный вес (вес на галлон чашки)</t>
  </si>
  <si>
    <t>SPECIFIC GRAVITY (PRESSURE CUP)</t>
  </si>
  <si>
    <t>Удельный вес (пикнометр давления)</t>
  </si>
  <si>
    <t>SAG RESISTANCE (SAG TESTERS @ 25ºC)</t>
  </si>
  <si>
    <t>Устойчивость к стеканию при 25ºC</t>
  </si>
  <si>
    <t>SAG RESISTANCE (SAG TESTERS @ 38ºC)</t>
  </si>
  <si>
    <t>Устойчивость к стеканию при 38ºC</t>
  </si>
  <si>
    <t>SAG RESISTANCE(HOLD UP BY AIRLESS SPRAY)</t>
  </si>
  <si>
    <t>Устойчивость к стеканию (БВР)</t>
  </si>
  <si>
    <t>COALESCENCE TEST</t>
  </si>
  <si>
    <t>Испытание на коалесценцию</t>
  </si>
  <si>
    <t>DRYING TIME (BK RECORDER)</t>
  </si>
  <si>
    <t>Время высыхания</t>
  </si>
  <si>
    <t>DRYING TIME (TOUCH DRY)</t>
  </si>
  <si>
    <t>Время высыхания (до отлипа)</t>
  </si>
  <si>
    <t>DRYING TIME (HARD DRY)</t>
  </si>
  <si>
    <t>Время высыхания (до твёрдой плёнки)</t>
  </si>
  <si>
    <t>POT-LIFE @ 25ºC</t>
  </si>
  <si>
    <t>Жизнеспособность при 25ºC</t>
  </si>
  <si>
    <t>POT-LIFE @ 38ºC</t>
  </si>
  <si>
    <t>Жизнеспособность при 38ºC</t>
  </si>
  <si>
    <t>SOLID CONTENT (3H @ 105º)</t>
  </si>
  <si>
    <t>Испытание на содержание нелетучих веществ (3H @ 105º)</t>
  </si>
  <si>
    <t>SOLID CONTENT (1H @ 105º)</t>
  </si>
  <si>
    <t>Испытание на содержание нелетучих веществ (1H @ 105º)</t>
  </si>
  <si>
    <t>GLOSS AT 60º</t>
  </si>
  <si>
    <t>Глянец при 60º</t>
  </si>
  <si>
    <t>GEL TIME</t>
  </si>
  <si>
    <t xml:space="preserve">Время гелеобразования </t>
  </si>
  <si>
    <t>COLOUR STRENGTH</t>
  </si>
  <si>
    <t>Насыщенность цвета</t>
  </si>
  <si>
    <t>MASS TONE (DE)</t>
  </si>
  <si>
    <t>Массовый тон (DE) (Цвет в массе)</t>
  </si>
  <si>
    <t>COLOUR MATCHING VISUAL ASSESSMENT</t>
  </si>
  <si>
    <t>Визуальная оценка соответствия цветов</t>
  </si>
  <si>
    <t>ALKYD SILICATE HYDROLYSIS (MORPH GEL)</t>
  </si>
  <si>
    <t>Гидролиз алкидных силикатов (морфо гель)</t>
  </si>
  <si>
    <t>OPACITY</t>
  </si>
  <si>
    <t>Укрывистость</t>
  </si>
  <si>
    <t>ADHESION TEST-PEN KNIFE METHOD</t>
  </si>
  <si>
    <t xml:space="preserve">Испытание на адгезию методом решетчатых надрезов </t>
  </si>
  <si>
    <t>SOLVENT RESISTANCE (DOUBLE RUB TEST)</t>
  </si>
  <si>
    <r>
      <t xml:space="preserve">Стойкость к растворителям (двойной тест на </t>
    </r>
    <r>
      <rPr>
        <sz val="11"/>
        <rFont val="Calibri"/>
        <family val="2"/>
        <charset val="204"/>
        <scheme val="minor"/>
      </rPr>
      <t>истирание</t>
    </r>
    <r>
      <rPr>
        <sz val="10"/>
        <rFont val="Arial"/>
        <family val="2"/>
        <charset val="129"/>
      </rPr>
      <t>)</t>
    </r>
  </si>
  <si>
    <t>CURE SPEED (MEK DOUBLE RUBS TEST)</t>
  </si>
  <si>
    <r>
      <t xml:space="preserve">Скорость отверждения (тест на двойное </t>
    </r>
    <r>
      <rPr>
        <sz val="11"/>
        <rFont val="Calibri"/>
        <family val="2"/>
        <charset val="204"/>
        <scheme val="minor"/>
      </rPr>
      <t>истирание</t>
    </r>
    <r>
      <rPr>
        <sz val="10"/>
        <rFont val="Arial"/>
        <family val="2"/>
        <charset val="129"/>
      </rPr>
      <t xml:space="preserve">  МЕК)</t>
    </r>
  </si>
  <si>
    <t>WET FILM THICKNESS</t>
  </si>
  <si>
    <t xml:space="preserve">Толщина мокрой пленки </t>
  </si>
  <si>
    <t>HEAT RESISTANCE-MUFFLE FURNACE</t>
  </si>
  <si>
    <t>Термостойкость - Муфельная печь</t>
  </si>
  <si>
    <t>COLOUR MEASUREMENT BY DATACOLOR</t>
  </si>
  <si>
    <t>Измерение цвета с помощью DATACOLOR</t>
  </si>
  <si>
    <t>FLASH POINT (SETAFLASH CLOSED CUP)</t>
  </si>
  <si>
    <t>Температура вспышки (в закрытой емкости SETAFLASH )</t>
  </si>
  <si>
    <t xml:space="preserve">VOLATILE ORGANIC CONTENT (VOC) </t>
  </si>
  <si>
    <t>Содержание летучих органических веществ (VOC)</t>
  </si>
  <si>
    <t>SOLIDS CONTENT (CURING AGENTS)</t>
  </si>
  <si>
    <t>Содержание нелетучих веществ (Отвердитель)</t>
  </si>
  <si>
    <t>VOLUME SOLIDS (ISO3233 METHOD)</t>
  </si>
  <si>
    <r>
      <t>Объёмная доля нелетучих веществ (Метод ISO 3233)</t>
    </r>
    <r>
      <rPr>
        <sz val="11"/>
        <rFont val="Calibri"/>
        <family val="2"/>
        <charset val="204"/>
        <scheme val="minor"/>
      </rPr>
      <t xml:space="preserve"> </t>
    </r>
  </si>
  <si>
    <t>VOLUME SOLIDS (ASTM D2697 METHOD)</t>
  </si>
  <si>
    <t>Объёмная доля нелетучих веществ (Метод ASTM D2697)</t>
  </si>
  <si>
    <t xml:space="preserve">WALK ON TIME (BALLAST SPACE COATINGS) </t>
  </si>
  <si>
    <t>Время прохождения (Покрытие балластного пространства)</t>
  </si>
  <si>
    <t>WALK-ON TIME (MANUAL METHOD)</t>
  </si>
  <si>
    <t>Время прохождения  (Ручной метод)</t>
  </si>
  <si>
    <t>VISCOSITY (INTERCRETE TEST)</t>
  </si>
  <si>
    <t>Вязкость (Тест INTERCRETE)</t>
  </si>
  <si>
    <t>SPECIFIC GRAVITY (INTERCRETE TEST)</t>
  </si>
  <si>
    <t>Удельный вес (Тест INTERCRETE)</t>
  </si>
  <si>
    <t xml:space="preserve">VISCOSITY(CHARTEK-BROOKFIELD)  </t>
  </si>
  <si>
    <t>Вязкость (CHARTEK - вискозиметр Брукфильда)</t>
  </si>
  <si>
    <t>VISCOSITY(NON/SLOW FLOWING MATERIALS)</t>
  </si>
  <si>
    <t>Вязкость (не текучих или слабо текучих материалов)</t>
  </si>
  <si>
    <t>SAG RESISTANCE(SLUMP TEST - CHARTEK)</t>
  </si>
  <si>
    <t>Устойчивость к стеканию(Тест на спад - CHARTEK)</t>
  </si>
  <si>
    <t>HARDNESS BY SHORE DUROMETER</t>
  </si>
  <si>
    <t>Твердость по Шору с помощью дюрометра</t>
  </si>
  <si>
    <t>TOTAL SOLID % BY WEIGHT</t>
  </si>
  <si>
    <t>Всего твердых веществ (сухой остаток) % по  весу</t>
  </si>
  <si>
    <t>СЕРТИФИКАТ АНАЛИЗА ПАРТИИ</t>
    <phoneticPr fontId="1" type="noConversion"/>
  </si>
  <si>
    <t>Zinc content(% dry film)</t>
  </si>
  <si>
    <t>Содержание цинка (% сухой пленки)</t>
    <phoneticPr fontId="3" type="noConversion"/>
  </si>
  <si>
    <t>CoA No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</si>
</sst>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6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20"/>
      <color theme="1"/>
      <name val="Arial"/>
      <family val="2"/>
    </font>
    <font>
      <sz val="8"/>
      <name val="Arial"/>
      <family val="2"/>
      <charset val="129"/>
    </font>
    <font>
      <b/>
      <u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  <charset val="129"/>
    </font>
    <font>
      <sz val="8.5"/>
      <color theme="1"/>
      <name val="Arial"/>
      <family val="2"/>
    </font>
    <font>
      <sz val="10"/>
      <color theme="1"/>
      <name val="Arial"/>
      <family val="2"/>
      <charset val="129"/>
    </font>
    <font>
      <sz val="10"/>
      <color rgb="FFFF0000"/>
      <name val="맑은 고딕"/>
      <family val="2"/>
      <charset val="129"/>
    </font>
    <font>
      <sz val="10"/>
      <name val="Arial"/>
      <family val="2"/>
      <charset val="129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7" fillId="0" borderId="0">
      <alignment vertical="center"/>
    </xf>
  </cellStyleXfs>
  <cellXfs count="48">
    <xf numFmtId="0" fontId="0" fillId="0" borderId="0" xfId="0"/>
    <xf numFmtId="0" fontId="11" fillId="0" borderId="0" xfId="1">
      <alignment vertical="center"/>
    </xf>
    <xf numFmtId="0" fontId="8" fillId="0" borderId="0" xfId="1" applyFont="1">
      <alignment vertical="center"/>
    </xf>
    <xf numFmtId="0" fontId="6" fillId="0" borderId="0" xfId="1" applyFont="1">
      <alignment vertical="center"/>
    </xf>
    <xf numFmtId="0" fontId="0" fillId="0" borderId="0" xfId="0" applyAlignment="1">
      <alignment vertical="center"/>
    </xf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3" fillId="0" borderId="0" xfId="0" applyFont="1"/>
    <xf numFmtId="0" fontId="14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5" fillId="0" borderId="0" xfId="0" applyFont="1"/>
    <xf numFmtId="0" fontId="9" fillId="0" borderId="0" xfId="1" applyFont="1" applyAlignment="1">
      <alignment horizontal="left" vertical="center"/>
    </xf>
    <xf numFmtId="0" fontId="11" fillId="0" borderId="0" xfId="1" applyAlignment="1">
      <alignment horizontal="left" vertical="center"/>
    </xf>
    <xf numFmtId="15" fontId="8" fillId="0" borderId="0" xfId="1" applyNumberFormat="1" applyFont="1" applyAlignment="1">
      <alignment horizontal="center" vertical="center"/>
    </xf>
    <xf numFmtId="0" fontId="9" fillId="0" borderId="0" xfId="1" applyFont="1">
      <alignment vertical="center"/>
    </xf>
    <xf numFmtId="0" fontId="4" fillId="0" borderId="0" xfId="1" applyFont="1">
      <alignment vertical="center"/>
    </xf>
    <xf numFmtId="0" fontId="8" fillId="0" borderId="0" xfId="1" applyFont="1" applyAlignment="1">
      <alignment horizontal="left" vertical="center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/>
    <xf numFmtId="0" fontId="7" fillId="0" borderId="5" xfId="1" applyFont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5" fillId="0" borderId="8" xfId="1" applyFont="1" applyBorder="1" applyAlignment="1">
      <alignment horizontal="left" vertical="center"/>
    </xf>
    <xf numFmtId="0" fontId="5" fillId="0" borderId="8" xfId="1" applyFont="1" applyBorder="1">
      <alignment vertical="center"/>
    </xf>
    <xf numFmtId="0" fontId="5" fillId="0" borderId="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quotePrefix="1" applyFont="1" applyAlignment="1">
      <alignment horizontal="center" vertical="center"/>
    </xf>
    <xf numFmtId="0" fontId="8" fillId="0" borderId="0" xfId="2" applyFont="1">
      <alignment vertical="center"/>
    </xf>
    <xf numFmtId="164" fontId="8" fillId="0" borderId="0" xfId="1" applyNumberFormat="1" applyFont="1" applyAlignment="1">
      <alignment horizontal="left" vertical="center"/>
    </xf>
    <xf numFmtId="0" fontId="8" fillId="0" borderId="0" xfId="1" applyFont="1" applyAlignment="1">
      <alignment horizontal="left" vertical="top" wrapText="1"/>
    </xf>
    <xf numFmtId="0" fontId="2" fillId="0" borderId="0" xfId="1" applyFont="1" applyAlignment="1">
      <alignment horizontal="center" vertical="center"/>
    </xf>
    <xf numFmtId="0" fontId="8" fillId="0" borderId="0" xfId="1" applyFont="1" applyAlignment="1">
      <alignment horizontal="left" vertical="center"/>
    </xf>
    <xf numFmtId="0" fontId="8" fillId="0" borderId="0" xfId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horizontal="left" vertical="center"/>
    </xf>
    <xf numFmtId="0" fontId="5" fillId="0" borderId="7" xfId="1" applyFont="1" applyBorder="1" applyAlignment="1">
      <alignment horizontal="left" vertical="center"/>
    </xf>
    <xf numFmtId="0" fontId="5" fillId="0" borderId="8" xfId="1" applyFont="1" applyBorder="1" applyAlignment="1">
      <alignment horizontal="left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6" xfId="1" applyFont="1" applyBorder="1" applyAlignment="1">
      <alignment horizontal="left" vertical="center"/>
    </xf>
    <xf numFmtId="0" fontId="5" fillId="0" borderId="9" xfId="1" applyFont="1" applyBorder="1" applyAlignment="1">
      <alignment horizontal="left" vertical="center"/>
    </xf>
    <xf numFmtId="0" fontId="8" fillId="0" borderId="5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2" xfId="1" applyFont="1" applyBorder="1" applyAlignment="1">
      <alignment horizontal="left" vertical="center" wrapText="1"/>
    </xf>
    <xf numFmtId="0" fontId="10" fillId="0" borderId="3" xfId="1" applyFont="1" applyBorder="1" applyAlignment="1">
      <alignment horizontal="left" vertical="center" wrapText="1"/>
    </xf>
  </cellXfs>
  <cellStyles count="3">
    <cellStyle name="표준" xfId="0" builtinId="0"/>
    <cellStyle name="표준 2" xfId="1" xr:uid="{00000000-0005-0000-0000-000001000000}"/>
    <cellStyle name="표준 2_Sheet1" xfId="2" xr:uid="{625154FA-8E9A-485B-81AE-9878DFBC15E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31</xdr:row>
      <xdr:rowOff>173355</xdr:rowOff>
    </xdr:from>
    <xdr:to>
      <xdr:col>10</xdr:col>
      <xdr:colOff>217170</xdr:colOff>
      <xdr:row>32</xdr:row>
      <xdr:rowOff>207611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FA75E76-644D-47BE-ABAE-599F0AD38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5" y="6355080"/>
          <a:ext cx="864870" cy="224756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0</xdr:row>
      <xdr:rowOff>167640</xdr:rowOff>
    </xdr:from>
    <xdr:to>
      <xdr:col>14</xdr:col>
      <xdr:colOff>575642</xdr:colOff>
      <xdr:row>1</xdr:row>
      <xdr:rowOff>362032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8CD6CD63-76B3-48A6-B395-1A209991F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51220" y="167640"/>
          <a:ext cx="2381582" cy="5906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31</xdr:row>
      <xdr:rowOff>179070</xdr:rowOff>
    </xdr:from>
    <xdr:to>
      <xdr:col>10</xdr:col>
      <xdr:colOff>220980</xdr:colOff>
      <xdr:row>32</xdr:row>
      <xdr:rowOff>220946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2AE3C5-4D07-4622-8BCA-C9B473E99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5" y="6360795"/>
          <a:ext cx="868680" cy="232376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0</xdr:row>
      <xdr:rowOff>167640</xdr:rowOff>
    </xdr:from>
    <xdr:to>
      <xdr:col>14</xdr:col>
      <xdr:colOff>575642</xdr:colOff>
      <xdr:row>1</xdr:row>
      <xdr:rowOff>362032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CA813D2-31AB-4093-BAEC-D69A0A010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51220" y="167640"/>
          <a:ext cx="2381582" cy="5906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O34"/>
  <sheetViews>
    <sheetView tabSelected="1" zoomScaleNormal="100" workbookViewId="0">
      <selection activeCell="U11" sqref="U11"/>
    </sheetView>
  </sheetViews>
  <sheetFormatPr defaultColWidth="8.8984375" defaultRowHeight="18" customHeight="1"/>
  <cols>
    <col min="1" max="1" width="1.296875" style="1" customWidth="1"/>
    <col min="2" max="2" width="7.19921875" style="1" customWidth="1"/>
    <col min="3" max="3" width="7.09765625" style="1" customWidth="1"/>
    <col min="4" max="4" width="11.296875" style="1" customWidth="1"/>
    <col min="5" max="5" width="8.796875" style="1" customWidth="1"/>
    <col min="6" max="6" width="8.3984375" style="1" customWidth="1"/>
    <col min="7" max="7" width="6.3984375" style="1" customWidth="1"/>
    <col min="8" max="8" width="5.69921875" style="1" customWidth="1"/>
    <col min="9" max="9" width="4.8984375" style="1" customWidth="1"/>
    <col min="10" max="10" width="8.59765625" style="1" customWidth="1"/>
    <col min="11" max="11" width="5.8984375" style="1" customWidth="1"/>
    <col min="12" max="12" width="13.69921875" style="1" customWidth="1"/>
    <col min="13" max="13" width="6.09765625" style="1" customWidth="1"/>
    <col min="14" max="14" width="6.3984375" style="1" customWidth="1"/>
    <col min="15" max="15" width="7.69921875" style="1" customWidth="1"/>
    <col min="16" max="16" width="7.59765625" style="1" customWidth="1"/>
    <col min="17" max="16384" width="8.8984375" style="1"/>
  </cols>
  <sheetData>
    <row r="1" spans="2:15" ht="31.5" customHeight="1">
      <c r="B1" s="14" t="s">
        <v>129</v>
      </c>
      <c r="C1" s="14"/>
    </row>
    <row r="2" spans="2:15" ht="31.5" customHeight="1">
      <c r="B2" s="14"/>
    </row>
    <row r="3" spans="2:15" ht="30.75" customHeight="1">
      <c r="B3" s="29" t="s">
        <v>126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2:15" ht="6.75" customHeight="1"/>
    <row r="5" spans="2:15" s="2" customFormat="1" ht="14.25" customHeight="1">
      <c r="B5" s="2" t="s">
        <v>0</v>
      </c>
      <c r="D5" s="30"/>
      <c r="E5" s="30"/>
      <c r="F5" s="30"/>
      <c r="G5" s="30"/>
      <c r="H5" s="30"/>
      <c r="I5" s="30"/>
      <c r="K5" s="2" t="s">
        <v>8</v>
      </c>
    </row>
    <row r="6" spans="2:15" s="2" customFormat="1" ht="14.25" customHeight="1">
      <c r="B6" s="2" t="s">
        <v>1</v>
      </c>
      <c r="D6" s="30"/>
      <c r="E6" s="30"/>
      <c r="F6" s="30"/>
      <c r="G6" s="30"/>
      <c r="H6" s="30"/>
      <c r="I6" s="30"/>
      <c r="J6" s="30"/>
      <c r="K6" s="2" t="s">
        <v>9</v>
      </c>
      <c r="M6" s="2" t="s">
        <v>29</v>
      </c>
    </row>
    <row r="7" spans="2:15" ht="20.25" customHeight="1">
      <c r="B7" s="15" t="s">
        <v>2</v>
      </c>
      <c r="D7" s="12"/>
      <c r="E7" s="12"/>
      <c r="F7" s="12"/>
      <c r="G7" s="12"/>
      <c r="H7" s="12"/>
      <c r="I7" s="12"/>
      <c r="K7" s="15" t="s">
        <v>10</v>
      </c>
    </row>
    <row r="8" spans="2:15" s="2" customFormat="1" ht="14.25" customHeight="1">
      <c r="B8" s="2" t="s">
        <v>3</v>
      </c>
      <c r="D8" s="30"/>
      <c r="E8" s="30"/>
      <c r="F8" s="30"/>
      <c r="G8" s="30"/>
      <c r="H8" s="30"/>
      <c r="I8" s="30"/>
      <c r="K8" s="2" t="s">
        <v>11</v>
      </c>
      <c r="M8" s="30"/>
      <c r="N8" s="30"/>
      <c r="O8" s="30"/>
    </row>
    <row r="9" spans="2:15" s="2" customFormat="1" ht="14.25" customHeight="1">
      <c r="B9" s="2" t="s">
        <v>4</v>
      </c>
      <c r="D9" s="27"/>
      <c r="E9" s="27"/>
      <c r="F9" s="27"/>
      <c r="G9" s="27"/>
      <c r="H9" s="27"/>
      <c r="I9" s="27"/>
      <c r="K9" s="2" t="s">
        <v>12</v>
      </c>
      <c r="M9" s="28"/>
      <c r="N9" s="28"/>
      <c r="O9" s="28"/>
    </row>
    <row r="10" spans="2:15" s="2" customFormat="1" ht="14.25" customHeight="1">
      <c r="B10" s="2" t="s">
        <v>5</v>
      </c>
      <c r="D10" s="27"/>
      <c r="E10" s="27"/>
      <c r="F10" s="27"/>
      <c r="G10" s="27"/>
      <c r="H10" s="27"/>
      <c r="I10" s="27"/>
      <c r="M10" s="28"/>
      <c r="N10" s="28"/>
      <c r="O10" s="28"/>
    </row>
    <row r="11" spans="2:15" s="2" customFormat="1" ht="14.25" customHeight="1">
      <c r="B11" s="2" t="s">
        <v>6</v>
      </c>
      <c r="D11" s="30"/>
      <c r="E11" s="30"/>
      <c r="F11" s="30"/>
      <c r="G11" s="30"/>
      <c r="H11" s="30"/>
      <c r="I11" s="30"/>
      <c r="K11" s="2" t="s">
        <v>13</v>
      </c>
      <c r="M11" s="30"/>
      <c r="N11" s="30"/>
      <c r="O11" s="30"/>
    </row>
    <row r="12" spans="2:15" s="2" customFormat="1" ht="14.25" customHeight="1">
      <c r="D12" s="30"/>
      <c r="E12" s="30"/>
      <c r="F12" s="30"/>
      <c r="G12" s="30"/>
      <c r="H12" s="30"/>
      <c r="I12" s="30"/>
      <c r="K12" s="2" t="s">
        <v>14</v>
      </c>
      <c r="M12" s="30"/>
      <c r="N12" s="30"/>
      <c r="O12" s="30"/>
    </row>
    <row r="13" spans="2:15" s="2" customFormat="1" ht="14.25" customHeight="1">
      <c r="D13" s="30"/>
      <c r="E13" s="30"/>
      <c r="F13" s="30"/>
      <c r="G13" s="30"/>
      <c r="H13" s="30"/>
      <c r="I13" s="30"/>
      <c r="K13" s="2" t="s">
        <v>15</v>
      </c>
      <c r="M13" s="30"/>
      <c r="N13" s="30"/>
      <c r="O13" s="30"/>
    </row>
    <row r="14" spans="2:15" s="2" customFormat="1" ht="14.25" customHeight="1">
      <c r="B14" s="2" t="s">
        <v>7</v>
      </c>
      <c r="M14" s="30"/>
      <c r="N14" s="30"/>
      <c r="O14" s="30"/>
    </row>
    <row r="15" spans="2:15" s="2" customFormat="1" ht="9" customHeight="1">
      <c r="M15" s="16"/>
      <c r="N15" s="16"/>
      <c r="O15" s="16"/>
    </row>
    <row r="16" spans="2:15" s="2" customFormat="1" ht="9" customHeight="1">
      <c r="M16" s="16"/>
      <c r="N16" s="16"/>
      <c r="O16" s="16"/>
    </row>
    <row r="17" spans="2:15" ht="24.75" customHeight="1">
      <c r="B17" s="32" t="s">
        <v>16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2:15" ht="4.5" customHeight="1"/>
    <row r="19" spans="2:15" s="3" customFormat="1" ht="17.25" customHeight="1">
      <c r="B19" s="35" t="s">
        <v>17</v>
      </c>
      <c r="C19" s="36"/>
      <c r="D19" s="36"/>
      <c r="E19" s="17"/>
      <c r="F19" s="36" t="s">
        <v>18</v>
      </c>
      <c r="G19" s="36"/>
      <c r="H19" s="36"/>
      <c r="I19" s="18"/>
      <c r="J19" s="19"/>
      <c r="K19" s="20" t="s">
        <v>19</v>
      </c>
      <c r="L19" s="20"/>
      <c r="M19" s="39" t="s">
        <v>28</v>
      </c>
      <c r="N19" s="40"/>
      <c r="O19" s="42" t="s">
        <v>20</v>
      </c>
    </row>
    <row r="20" spans="2:15" s="3" customFormat="1" ht="17.25" customHeight="1">
      <c r="B20" s="37"/>
      <c r="C20" s="38"/>
      <c r="D20" s="38"/>
      <c r="E20" s="21"/>
      <c r="F20" s="38"/>
      <c r="G20" s="38"/>
      <c r="H20" s="38"/>
      <c r="I20" s="22"/>
      <c r="J20" s="22" t="s">
        <v>21</v>
      </c>
      <c r="K20" s="23"/>
      <c r="L20" s="23" t="s">
        <v>22</v>
      </c>
      <c r="M20" s="41"/>
      <c r="N20" s="41"/>
      <c r="O20" s="43"/>
    </row>
    <row r="21" spans="2:15" s="2" customFormat="1" ht="15" customHeight="1">
      <c r="D21" s="4" t="str">
        <f>IFERROR(VLOOKUP(B21,Sheet3!A:B,2,FALSE),"")</f>
        <v/>
      </c>
      <c r="J21" s="24"/>
      <c r="K21" s="25"/>
      <c r="L21" s="24"/>
      <c r="M21" s="44"/>
      <c r="N21" s="44"/>
      <c r="O21" s="16"/>
    </row>
    <row r="22" spans="2:15" s="2" customFormat="1" ht="15" customHeight="1">
      <c r="D22" s="4" t="str">
        <f>IFERROR(VLOOKUP(B22,Sheet3!A:B,2,FALSE),"")</f>
        <v/>
      </c>
      <c r="J22" s="24"/>
      <c r="K22" s="25"/>
      <c r="L22" s="24"/>
      <c r="M22" s="31"/>
      <c r="N22" s="31"/>
      <c r="O22" s="16"/>
    </row>
    <row r="23" spans="2:15" s="2" customFormat="1" ht="15" customHeight="1">
      <c r="D23" s="4" t="str">
        <f>IFERROR(VLOOKUP(B23,Sheet3!A:B,2,FALSE),"")</f>
        <v/>
      </c>
      <c r="J23" s="24"/>
      <c r="K23" s="25"/>
      <c r="L23" s="24"/>
      <c r="M23" s="31"/>
      <c r="N23" s="31"/>
      <c r="O23" s="16"/>
    </row>
    <row r="24" spans="2:15" s="2" customFormat="1" ht="15" customHeight="1">
      <c r="D24" s="4" t="str">
        <f>IFERROR(VLOOKUP(B24,Sheet3!A:B,2,FALSE),"")</f>
        <v/>
      </c>
      <c r="J24" s="24"/>
      <c r="K24" s="25"/>
      <c r="L24" s="24"/>
      <c r="M24" s="31"/>
      <c r="N24" s="31"/>
      <c r="O24" s="16"/>
    </row>
    <row r="25" spans="2:15" s="2" customFormat="1" ht="15" customHeight="1">
      <c r="D25" s="4" t="str">
        <f>IFERROR(VLOOKUP(B25,Sheet3!A:B,2,FALSE),"")</f>
        <v/>
      </c>
      <c r="J25" s="24"/>
      <c r="K25" s="25"/>
      <c r="L25" s="24"/>
      <c r="M25" s="31"/>
      <c r="N25" s="31"/>
      <c r="O25" s="16"/>
    </row>
    <row r="26" spans="2:15" s="2" customFormat="1" ht="15" customHeight="1">
      <c r="D26" s="4" t="str">
        <f>IFERROR(VLOOKUP(B26,Sheet3!A:B,2,FALSE),"")</f>
        <v/>
      </c>
      <c r="J26" s="24"/>
      <c r="K26" s="25"/>
      <c r="L26" s="24"/>
      <c r="M26" s="31"/>
      <c r="N26" s="31"/>
      <c r="O26" s="16"/>
    </row>
    <row r="27" spans="2:15" s="2" customFormat="1" ht="15" customHeight="1">
      <c r="D27" s="4" t="str">
        <f>IFERROR(VLOOKUP(B27,Sheet3!A:B,2,FALSE),"")</f>
        <v/>
      </c>
      <c r="J27" s="24"/>
      <c r="K27" s="25"/>
      <c r="L27" s="24"/>
      <c r="M27" s="31"/>
      <c r="N27" s="31"/>
      <c r="O27" s="16"/>
    </row>
    <row r="28" spans="2:15" s="2" customFormat="1" ht="15" customHeight="1">
      <c r="D28" s="4" t="str">
        <f>IFERROR(VLOOKUP(B28,Sheet3!A:B,2,FALSE),"")</f>
        <v/>
      </c>
      <c r="J28" s="24"/>
      <c r="K28" s="25"/>
      <c r="L28" s="24"/>
      <c r="M28" s="31"/>
      <c r="N28" s="31"/>
      <c r="O28" s="16"/>
    </row>
    <row r="29" spans="2:15" s="2" customFormat="1" ht="15" customHeight="1">
      <c r="D29" s="4" t="str">
        <f>IFERROR(VLOOKUP(B29,Sheet3!A:B,2,FALSE),"")</f>
        <v/>
      </c>
      <c r="J29" s="24"/>
      <c r="K29" s="25"/>
      <c r="L29" s="24"/>
      <c r="M29" s="31"/>
      <c r="N29" s="31"/>
      <c r="O29" s="16"/>
    </row>
    <row r="30" spans="2:15" s="2" customFormat="1" ht="15" customHeight="1">
      <c r="D30" s="4" t="str">
        <f>IFERROR(VLOOKUP(B30,Sheet3!A:B,2,FALSE),"")</f>
        <v/>
      </c>
      <c r="J30" s="24"/>
      <c r="K30" s="25"/>
      <c r="L30" s="24"/>
      <c r="M30" s="31"/>
      <c r="N30" s="31"/>
      <c r="O30" s="16"/>
    </row>
    <row r="31" spans="2:15" s="2" customFormat="1" ht="15" customHeight="1">
      <c r="D31" s="4" t="str">
        <f>IFERROR(VLOOKUP(B31,Sheet3!A:B,2,FALSE),"")</f>
        <v/>
      </c>
      <c r="J31" s="24"/>
      <c r="K31" s="25"/>
      <c r="L31" s="24"/>
      <c r="M31" s="24"/>
      <c r="N31" s="24"/>
      <c r="O31" s="16"/>
    </row>
    <row r="32" spans="2:15" s="2" customFormat="1" ht="15" customHeight="1">
      <c r="D32" s="4" t="str">
        <f>IFERROR(VLOOKUP(B32,Sheet3!A:B,2,FALSE),"")</f>
        <v/>
      </c>
      <c r="J32" s="24"/>
      <c r="K32" s="25"/>
      <c r="L32" s="24"/>
      <c r="M32" s="24"/>
      <c r="N32" s="24"/>
      <c r="O32" s="16"/>
    </row>
    <row r="33" spans="2:15" ht="18" customHeight="1">
      <c r="B33" s="11" t="s">
        <v>23</v>
      </c>
      <c r="C33" s="11"/>
      <c r="D33" s="12"/>
      <c r="E33" s="2"/>
      <c r="F33" s="2" t="s">
        <v>24</v>
      </c>
      <c r="G33" s="2"/>
      <c r="N33" s="2" t="s">
        <v>25</v>
      </c>
      <c r="O33" s="13">
        <f ca="1">TODAY()</f>
        <v>45748</v>
      </c>
    </row>
    <row r="34" spans="2:15" ht="28.5" customHeight="1">
      <c r="B34" s="45" t="s">
        <v>26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7"/>
    </row>
  </sheetData>
  <mergeCells count="31">
    <mergeCell ref="M27:N27"/>
    <mergeCell ref="M28:N28"/>
    <mergeCell ref="M29:N29"/>
    <mergeCell ref="M30:N30"/>
    <mergeCell ref="B34:O34"/>
    <mergeCell ref="M26:N26"/>
    <mergeCell ref="M14:O14"/>
    <mergeCell ref="B17:O17"/>
    <mergeCell ref="B19:D20"/>
    <mergeCell ref="F19:H20"/>
    <mergeCell ref="M19:N20"/>
    <mergeCell ref="O19:O20"/>
    <mergeCell ref="M21:N21"/>
    <mergeCell ref="M22:N22"/>
    <mergeCell ref="M23:N23"/>
    <mergeCell ref="M24:N24"/>
    <mergeCell ref="M25:N25"/>
    <mergeCell ref="D11:I11"/>
    <mergeCell ref="M11:O11"/>
    <mergeCell ref="D12:I12"/>
    <mergeCell ref="M12:O12"/>
    <mergeCell ref="D13:I13"/>
    <mergeCell ref="M13:O13"/>
    <mergeCell ref="D9:I9"/>
    <mergeCell ref="M9:O10"/>
    <mergeCell ref="D10:I10"/>
    <mergeCell ref="B3:O3"/>
    <mergeCell ref="D5:I5"/>
    <mergeCell ref="D8:I8"/>
    <mergeCell ref="M8:O8"/>
    <mergeCell ref="D6:J6"/>
  </mergeCells>
  <phoneticPr fontId="1" type="noConversion"/>
  <pageMargins left="0.9055118110236221" right="0.70866141732283472" top="0.19685039370078741" bottom="0.23622047244094491" header="0.15748031496062992" footer="0.15748031496062992"/>
  <pageSetup paperSize="9" orientation="landscape" r:id="rId1"/>
  <customProperties>
    <customPr name="_pios_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C619E-3CE8-40C0-934B-2B0920EDE052}">
  <dimension ref="B1:O34"/>
  <sheetViews>
    <sheetView zoomScaleNormal="100" workbookViewId="0">
      <selection activeCell="S11" sqref="S11"/>
    </sheetView>
  </sheetViews>
  <sheetFormatPr defaultColWidth="8.8984375" defaultRowHeight="18" customHeight="1"/>
  <cols>
    <col min="1" max="1" width="1.296875" style="1" customWidth="1"/>
    <col min="2" max="2" width="7.19921875" style="1" customWidth="1"/>
    <col min="3" max="3" width="7.09765625" style="1" customWidth="1"/>
    <col min="4" max="4" width="11.296875" style="1" customWidth="1"/>
    <col min="5" max="5" width="8.796875" style="1" customWidth="1"/>
    <col min="6" max="6" width="8.3984375" style="1" customWidth="1"/>
    <col min="7" max="7" width="6.3984375" style="1" customWidth="1"/>
    <col min="8" max="8" width="5.69921875" style="1" customWidth="1"/>
    <col min="9" max="9" width="4.8984375" style="1" customWidth="1"/>
    <col min="10" max="10" width="8.59765625" style="1" customWidth="1"/>
    <col min="11" max="11" width="5.8984375" style="1" customWidth="1"/>
    <col min="12" max="12" width="13.69921875" style="1" customWidth="1"/>
    <col min="13" max="13" width="6.09765625" style="1" customWidth="1"/>
    <col min="14" max="14" width="6.3984375" style="1" customWidth="1"/>
    <col min="15" max="15" width="7.69921875" style="1" customWidth="1"/>
    <col min="16" max="16" width="7.59765625" style="1" customWidth="1"/>
    <col min="17" max="16384" width="8.8984375" style="1"/>
  </cols>
  <sheetData>
    <row r="1" spans="2:15" ht="31.5" customHeight="1">
      <c r="B1" s="14" t="s">
        <v>129</v>
      </c>
      <c r="C1" s="14"/>
    </row>
    <row r="2" spans="2:15" ht="31.5" customHeight="1">
      <c r="B2" s="14"/>
    </row>
    <row r="3" spans="2:15" ht="30.75" customHeight="1">
      <c r="B3" s="29" t="s">
        <v>126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2:15" ht="6.75" customHeight="1"/>
    <row r="5" spans="2:15" s="2" customFormat="1" ht="14.25" customHeight="1">
      <c r="B5" s="2" t="s">
        <v>0</v>
      </c>
      <c r="D5" s="30"/>
      <c r="E5" s="30"/>
      <c r="F5" s="30"/>
      <c r="G5" s="30"/>
      <c r="H5" s="30"/>
      <c r="I5" s="30"/>
      <c r="K5" s="2" t="s">
        <v>8</v>
      </c>
    </row>
    <row r="6" spans="2:15" s="2" customFormat="1" ht="14.25" customHeight="1">
      <c r="B6" s="2" t="s">
        <v>1</v>
      </c>
      <c r="D6" s="30"/>
      <c r="E6" s="30"/>
      <c r="F6" s="30"/>
      <c r="G6" s="30"/>
      <c r="H6" s="30"/>
      <c r="I6" s="30"/>
      <c r="J6" s="30"/>
      <c r="K6" s="2" t="s">
        <v>9</v>
      </c>
      <c r="M6" s="2" t="s">
        <v>29</v>
      </c>
    </row>
    <row r="7" spans="2:15" ht="20.25" customHeight="1">
      <c r="B7" s="15" t="s">
        <v>2</v>
      </c>
      <c r="D7" s="12"/>
      <c r="E7" s="12"/>
      <c r="F7" s="12"/>
      <c r="G7" s="12"/>
      <c r="H7" s="12"/>
      <c r="I7" s="12"/>
      <c r="K7" s="15" t="s">
        <v>10</v>
      </c>
    </row>
    <row r="8" spans="2:15" s="2" customFormat="1" ht="14.25" customHeight="1">
      <c r="B8" s="2" t="s">
        <v>3</v>
      </c>
      <c r="D8" s="30"/>
      <c r="E8" s="30"/>
      <c r="F8" s="30"/>
      <c r="G8" s="30"/>
      <c r="H8" s="30"/>
      <c r="I8" s="30"/>
      <c r="K8" s="2" t="s">
        <v>11</v>
      </c>
      <c r="M8" s="30"/>
      <c r="N8" s="30"/>
      <c r="O8" s="30"/>
    </row>
    <row r="9" spans="2:15" s="2" customFormat="1" ht="14.25" customHeight="1">
      <c r="B9" s="2" t="s">
        <v>4</v>
      </c>
      <c r="D9" s="27"/>
      <c r="E9" s="27"/>
      <c r="F9" s="27"/>
      <c r="G9" s="27"/>
      <c r="H9" s="27"/>
      <c r="I9" s="27"/>
      <c r="K9" s="2" t="s">
        <v>12</v>
      </c>
      <c r="M9" s="28"/>
      <c r="N9" s="28"/>
      <c r="O9" s="28"/>
    </row>
    <row r="10" spans="2:15" s="2" customFormat="1" ht="14.25" customHeight="1">
      <c r="B10" s="2" t="s">
        <v>5</v>
      </c>
      <c r="D10" s="27"/>
      <c r="E10" s="27"/>
      <c r="F10" s="27"/>
      <c r="G10" s="27"/>
      <c r="H10" s="27"/>
      <c r="I10" s="27"/>
      <c r="M10" s="28"/>
      <c r="N10" s="28"/>
      <c r="O10" s="28"/>
    </row>
    <row r="11" spans="2:15" s="2" customFormat="1" ht="14.25" customHeight="1">
      <c r="B11" s="2" t="s">
        <v>6</v>
      </c>
      <c r="D11" s="30"/>
      <c r="E11" s="30"/>
      <c r="F11" s="30"/>
      <c r="G11" s="30"/>
      <c r="H11" s="30"/>
      <c r="I11" s="30"/>
      <c r="K11" s="2" t="s">
        <v>13</v>
      </c>
      <c r="M11" s="30"/>
      <c r="N11" s="30"/>
      <c r="O11" s="30"/>
    </row>
    <row r="12" spans="2:15" s="2" customFormat="1" ht="14.25" customHeight="1">
      <c r="D12" s="30"/>
      <c r="E12" s="30"/>
      <c r="F12" s="30"/>
      <c r="G12" s="30"/>
      <c r="H12" s="30"/>
      <c r="I12" s="30"/>
      <c r="K12" s="2" t="s">
        <v>14</v>
      </c>
      <c r="M12" s="30"/>
      <c r="N12" s="30"/>
      <c r="O12" s="30"/>
    </row>
    <row r="13" spans="2:15" s="2" customFormat="1" ht="14.25" customHeight="1">
      <c r="D13" s="30"/>
      <c r="E13" s="30"/>
      <c r="F13" s="30"/>
      <c r="G13" s="30"/>
      <c r="H13" s="30"/>
      <c r="I13" s="30"/>
      <c r="K13" s="2" t="s">
        <v>15</v>
      </c>
      <c r="M13" s="30"/>
      <c r="N13" s="30"/>
      <c r="O13" s="30"/>
    </row>
    <row r="14" spans="2:15" s="2" customFormat="1" ht="14.25" customHeight="1">
      <c r="B14" s="2" t="s">
        <v>7</v>
      </c>
      <c r="M14" s="30"/>
      <c r="N14" s="30"/>
      <c r="O14" s="30"/>
    </row>
    <row r="15" spans="2:15" s="2" customFormat="1" ht="9" customHeight="1">
      <c r="M15" s="16"/>
      <c r="N15" s="16"/>
      <c r="O15" s="16"/>
    </row>
    <row r="16" spans="2:15" s="2" customFormat="1" ht="9" customHeight="1">
      <c r="M16" s="16"/>
      <c r="N16" s="16"/>
      <c r="O16" s="16"/>
    </row>
    <row r="17" spans="2:15" ht="24.75" customHeight="1">
      <c r="B17" s="32" t="s">
        <v>16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2:15" ht="4.5" customHeight="1"/>
    <row r="19" spans="2:15" s="3" customFormat="1" ht="17.25" customHeight="1">
      <c r="B19" s="35" t="s">
        <v>17</v>
      </c>
      <c r="C19" s="36"/>
      <c r="D19" s="36"/>
      <c r="E19" s="17"/>
      <c r="F19" s="36" t="s">
        <v>18</v>
      </c>
      <c r="G19" s="36"/>
      <c r="H19" s="36"/>
      <c r="I19" s="18"/>
      <c r="J19" s="19"/>
      <c r="K19" s="20" t="s">
        <v>19</v>
      </c>
      <c r="L19" s="20"/>
      <c r="M19" s="39" t="s">
        <v>28</v>
      </c>
      <c r="N19" s="40"/>
      <c r="O19" s="42" t="s">
        <v>20</v>
      </c>
    </row>
    <row r="20" spans="2:15" s="3" customFormat="1" ht="17.25" customHeight="1">
      <c r="B20" s="37"/>
      <c r="C20" s="38"/>
      <c r="D20" s="38"/>
      <c r="E20" s="21"/>
      <c r="F20" s="38"/>
      <c r="G20" s="38"/>
      <c r="H20" s="38"/>
      <c r="I20" s="22"/>
      <c r="J20" s="22" t="s">
        <v>21</v>
      </c>
      <c r="K20" s="23"/>
      <c r="L20" s="23" t="s">
        <v>22</v>
      </c>
      <c r="M20" s="41"/>
      <c r="N20" s="41"/>
      <c r="O20" s="43"/>
    </row>
    <row r="21" spans="2:15" s="2" customFormat="1" ht="15" customHeight="1">
      <c r="D21" s="4" t="str">
        <f>IFERROR(VLOOKUP(B21,Sheet3!A:B,2,FALSE),"")</f>
        <v/>
      </c>
      <c r="J21" s="24"/>
      <c r="K21" s="25"/>
      <c r="L21" s="24"/>
      <c r="M21" s="44"/>
      <c r="N21" s="44"/>
      <c r="O21" s="16"/>
    </row>
    <row r="22" spans="2:15" s="2" customFormat="1" ht="15" customHeight="1">
      <c r="D22" s="4" t="str">
        <f>IFERROR(VLOOKUP(B22,Sheet3!A:B,2,FALSE),"")</f>
        <v/>
      </c>
      <c r="J22" s="24"/>
      <c r="K22" s="25"/>
      <c r="L22" s="24"/>
      <c r="M22" s="31"/>
      <c r="N22" s="31"/>
      <c r="O22" s="16"/>
    </row>
    <row r="23" spans="2:15" s="2" customFormat="1" ht="15" customHeight="1">
      <c r="D23" s="4" t="str">
        <f>IFERROR(VLOOKUP(B23,Sheet3!A:B,2,FALSE),"")</f>
        <v/>
      </c>
      <c r="J23" s="24"/>
      <c r="K23" s="25"/>
      <c r="L23" s="24"/>
      <c r="M23" s="31"/>
      <c r="N23" s="31"/>
      <c r="O23" s="16"/>
    </row>
    <row r="24" spans="2:15" s="2" customFormat="1" ht="15" customHeight="1">
      <c r="D24" s="4" t="str">
        <f>IFERROR(VLOOKUP(B24,Sheet3!A:B,2,FALSE),"")</f>
        <v/>
      </c>
      <c r="J24" s="24"/>
      <c r="K24" s="25"/>
      <c r="L24" s="24"/>
      <c r="M24" s="31"/>
      <c r="N24" s="31"/>
      <c r="O24" s="16"/>
    </row>
    <row r="25" spans="2:15" s="2" customFormat="1" ht="15" customHeight="1">
      <c r="D25" s="4" t="str">
        <f>IFERROR(VLOOKUP(B25,Sheet3!A:B,2,FALSE),"")</f>
        <v/>
      </c>
      <c r="J25" s="24"/>
      <c r="K25" s="25"/>
      <c r="L25" s="24"/>
      <c r="M25" s="31"/>
      <c r="N25" s="31"/>
      <c r="O25" s="16"/>
    </row>
    <row r="26" spans="2:15" s="2" customFormat="1" ht="15" customHeight="1">
      <c r="D26" s="4" t="str">
        <f>IFERROR(VLOOKUP(B26,Sheet3!A:B,2,FALSE),"")</f>
        <v/>
      </c>
      <c r="J26" s="24"/>
      <c r="K26" s="25"/>
      <c r="L26" s="24"/>
      <c r="M26" s="31"/>
      <c r="N26" s="31"/>
      <c r="O26" s="16"/>
    </row>
    <row r="27" spans="2:15" s="2" customFormat="1" ht="15" customHeight="1">
      <c r="D27" s="4" t="str">
        <f>IFERROR(VLOOKUP(B27,Sheet3!A:B,2,FALSE),"")</f>
        <v/>
      </c>
      <c r="J27" s="24"/>
      <c r="K27" s="25"/>
      <c r="L27" s="24"/>
      <c r="M27" s="31"/>
      <c r="N27" s="31"/>
      <c r="O27" s="16"/>
    </row>
    <row r="28" spans="2:15" s="2" customFormat="1" ht="15" customHeight="1">
      <c r="D28" s="4" t="str">
        <f>IFERROR(VLOOKUP(B28,Sheet3!A:B,2,FALSE),"")</f>
        <v/>
      </c>
      <c r="J28" s="24"/>
      <c r="K28" s="25"/>
      <c r="L28" s="24"/>
      <c r="M28" s="31"/>
      <c r="N28" s="31"/>
      <c r="O28" s="16"/>
    </row>
    <row r="29" spans="2:15" s="2" customFormat="1" ht="15" customHeight="1">
      <c r="D29" s="4" t="str">
        <f>IFERROR(VLOOKUP(B29,Sheet3!A:B,2,FALSE),"")</f>
        <v/>
      </c>
      <c r="J29" s="24"/>
      <c r="K29" s="25"/>
      <c r="L29" s="24"/>
      <c r="M29" s="31"/>
      <c r="N29" s="31"/>
      <c r="O29" s="16"/>
    </row>
    <row r="30" spans="2:15" s="2" customFormat="1" ht="15" customHeight="1">
      <c r="D30" s="4" t="str">
        <f>IFERROR(VLOOKUP(B30,Sheet3!A:B,2,FALSE),"")</f>
        <v/>
      </c>
      <c r="J30" s="24"/>
      <c r="K30" s="25"/>
      <c r="L30" s="24"/>
      <c r="M30" s="31"/>
      <c r="N30" s="31"/>
      <c r="O30" s="16"/>
    </row>
    <row r="31" spans="2:15" s="2" customFormat="1" ht="15" customHeight="1">
      <c r="D31" s="4" t="str">
        <f>IFERROR(VLOOKUP(B31,Sheet3!A:B,2,FALSE),"")</f>
        <v/>
      </c>
      <c r="J31" s="24"/>
      <c r="K31" s="25"/>
      <c r="L31" s="24"/>
      <c r="M31" s="24"/>
      <c r="N31" s="24"/>
      <c r="O31" s="16"/>
    </row>
    <row r="32" spans="2:15" s="2" customFormat="1" ht="15" customHeight="1">
      <c r="D32" s="4" t="str">
        <f>IFERROR(VLOOKUP(B32,Sheet3!A:B,2,FALSE),"")</f>
        <v/>
      </c>
      <c r="J32" s="24"/>
      <c r="K32" s="25"/>
      <c r="L32" s="24"/>
      <c r="M32" s="24"/>
      <c r="N32" s="24"/>
      <c r="O32" s="16"/>
    </row>
    <row r="33" spans="2:15" ht="18" customHeight="1">
      <c r="B33" s="11" t="s">
        <v>23</v>
      </c>
      <c r="C33" s="11"/>
      <c r="D33" s="12"/>
      <c r="E33" s="2"/>
      <c r="F33" s="2" t="s">
        <v>24</v>
      </c>
      <c r="G33" s="2"/>
      <c r="N33" s="2" t="s">
        <v>25</v>
      </c>
      <c r="O33" s="13">
        <f ca="1">TODAY()</f>
        <v>45748</v>
      </c>
    </row>
    <row r="34" spans="2:15" ht="28.5" customHeight="1">
      <c r="B34" s="45" t="s">
        <v>26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7"/>
    </row>
  </sheetData>
  <mergeCells count="31">
    <mergeCell ref="D9:I9"/>
    <mergeCell ref="M9:O10"/>
    <mergeCell ref="D10:I10"/>
    <mergeCell ref="B3:O3"/>
    <mergeCell ref="D5:I5"/>
    <mergeCell ref="D6:J6"/>
    <mergeCell ref="D8:I8"/>
    <mergeCell ref="M8:O8"/>
    <mergeCell ref="D11:I11"/>
    <mergeCell ref="M11:O11"/>
    <mergeCell ref="D12:I12"/>
    <mergeCell ref="M12:O12"/>
    <mergeCell ref="D13:I13"/>
    <mergeCell ref="M13:O13"/>
    <mergeCell ref="M26:N26"/>
    <mergeCell ref="M14:O14"/>
    <mergeCell ref="B17:O17"/>
    <mergeCell ref="B19:D20"/>
    <mergeCell ref="F19:H20"/>
    <mergeCell ref="M19:N20"/>
    <mergeCell ref="O19:O20"/>
    <mergeCell ref="M21:N21"/>
    <mergeCell ref="M22:N22"/>
    <mergeCell ref="M23:N23"/>
    <mergeCell ref="M24:N24"/>
    <mergeCell ref="M25:N25"/>
    <mergeCell ref="M27:N27"/>
    <mergeCell ref="M28:N28"/>
    <mergeCell ref="M29:N29"/>
    <mergeCell ref="M30:N30"/>
    <mergeCell ref="B34:O34"/>
  </mergeCells>
  <phoneticPr fontId="1" type="noConversion"/>
  <pageMargins left="0.9055118110236221" right="0.70866141732283472" top="0.19685039370078741" bottom="0.23622047244094491" header="0.15748031496062992" footer="0.15748031496062992"/>
  <pageSetup paperSize="9" orientation="landscape" r:id="rId1"/>
  <customProperties>
    <customPr name="_pios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2"/>
  <sheetViews>
    <sheetView topLeftCell="A34" workbookViewId="0">
      <selection activeCell="D41" sqref="D41"/>
    </sheetView>
  </sheetViews>
  <sheetFormatPr defaultRowHeight="14.4"/>
  <cols>
    <col min="1" max="1" width="38.19921875" bestFit="1" customWidth="1"/>
    <col min="2" max="2" width="44.19921875" bestFit="1" customWidth="1"/>
  </cols>
  <sheetData>
    <row r="1" spans="1:2" s="4" customFormat="1">
      <c r="A1" s="7" t="s">
        <v>30</v>
      </c>
      <c r="B1" s="7" t="s">
        <v>31</v>
      </c>
    </row>
    <row r="2" spans="1:2" s="4" customFormat="1">
      <c r="A2" s="7" t="s">
        <v>32</v>
      </c>
      <c r="B2" s="7" t="s">
        <v>33</v>
      </c>
    </row>
    <row r="3" spans="1:2" s="4" customFormat="1">
      <c r="A3" s="7" t="s">
        <v>34</v>
      </c>
      <c r="B3" s="7" t="s">
        <v>35</v>
      </c>
    </row>
    <row r="4" spans="1:2" s="4" customFormat="1">
      <c r="A4" s="7" t="s">
        <v>36</v>
      </c>
      <c r="B4" s="7" t="s">
        <v>37</v>
      </c>
    </row>
    <row r="5" spans="1:2" s="4" customFormat="1">
      <c r="A5" s="7" t="s">
        <v>38</v>
      </c>
      <c r="B5" s="7" t="s">
        <v>39</v>
      </c>
    </row>
    <row r="6" spans="1:2" s="4" customFormat="1">
      <c r="A6" s="7" t="s">
        <v>40</v>
      </c>
      <c r="B6" s="7" t="s">
        <v>41</v>
      </c>
    </row>
    <row r="7" spans="1:2" s="4" customFormat="1">
      <c r="A7" s="7" t="s">
        <v>42</v>
      </c>
      <c r="B7" s="7" t="s">
        <v>43</v>
      </c>
    </row>
    <row r="8" spans="1:2" s="4" customFormat="1">
      <c r="A8" s="7" t="s">
        <v>44</v>
      </c>
      <c r="B8" s="7" t="s">
        <v>45</v>
      </c>
    </row>
    <row r="9" spans="1:2" s="4" customFormat="1">
      <c r="A9" s="7" t="s">
        <v>46</v>
      </c>
      <c r="B9" s="7" t="s">
        <v>47</v>
      </c>
    </row>
    <row r="10" spans="1:2" s="4" customFormat="1">
      <c r="A10" s="7" t="s">
        <v>48</v>
      </c>
      <c r="B10" s="7" t="s">
        <v>49</v>
      </c>
    </row>
    <row r="11" spans="1:2" s="4" customFormat="1">
      <c r="A11" s="7" t="s">
        <v>50</v>
      </c>
      <c r="B11" s="7" t="s">
        <v>51</v>
      </c>
    </row>
    <row r="12" spans="1:2" s="4" customFormat="1">
      <c r="A12" s="7" t="s">
        <v>52</v>
      </c>
      <c r="B12" s="7" t="s">
        <v>53</v>
      </c>
    </row>
    <row r="13" spans="1:2" s="4" customFormat="1">
      <c r="A13" s="7" t="s">
        <v>54</v>
      </c>
      <c r="B13" s="8" t="s">
        <v>55</v>
      </c>
    </row>
    <row r="14" spans="1:2" s="4" customFormat="1">
      <c r="A14" s="7" t="s">
        <v>56</v>
      </c>
      <c r="B14" s="7" t="s">
        <v>57</v>
      </c>
    </row>
    <row r="15" spans="1:2" s="4" customFormat="1">
      <c r="A15" s="7" t="s">
        <v>58</v>
      </c>
      <c r="B15" s="9" t="s">
        <v>59</v>
      </c>
    </row>
    <row r="16" spans="1:2" s="4" customFormat="1">
      <c r="A16" s="7" t="s">
        <v>60</v>
      </c>
      <c r="B16" s="9" t="s">
        <v>61</v>
      </c>
    </row>
    <row r="17" spans="1:2" s="4" customFormat="1">
      <c r="A17" s="7" t="s">
        <v>62</v>
      </c>
      <c r="B17" s="9" t="s">
        <v>63</v>
      </c>
    </row>
    <row r="18" spans="1:2" s="4" customFormat="1">
      <c r="A18" s="7" t="s">
        <v>64</v>
      </c>
      <c r="B18" s="7" t="s">
        <v>65</v>
      </c>
    </row>
    <row r="19" spans="1:2" s="4" customFormat="1">
      <c r="A19" s="7" t="s">
        <v>66</v>
      </c>
      <c r="B19" s="7" t="s">
        <v>67</v>
      </c>
    </row>
    <row r="20" spans="1:2" s="4" customFormat="1">
      <c r="A20" s="7" t="s">
        <v>68</v>
      </c>
      <c r="B20" s="7" t="s">
        <v>69</v>
      </c>
    </row>
    <row r="21" spans="1:2" s="4" customFormat="1">
      <c r="A21" s="7" t="s">
        <v>70</v>
      </c>
      <c r="B21" s="7" t="s">
        <v>71</v>
      </c>
    </row>
    <row r="22" spans="1:2" s="4" customFormat="1">
      <c r="A22" s="7" t="s">
        <v>72</v>
      </c>
      <c r="B22" s="7" t="s">
        <v>73</v>
      </c>
    </row>
    <row r="23" spans="1:2" s="4" customFormat="1">
      <c r="A23" s="7" t="s">
        <v>74</v>
      </c>
      <c r="B23" s="7" t="s">
        <v>75</v>
      </c>
    </row>
    <row r="24" spans="1:2" s="4" customFormat="1">
      <c r="A24" s="7" t="s">
        <v>76</v>
      </c>
      <c r="B24" s="7" t="s">
        <v>77</v>
      </c>
    </row>
    <row r="25" spans="1:2" s="4" customFormat="1">
      <c r="A25" s="7" t="s">
        <v>78</v>
      </c>
      <c r="B25" s="7" t="s">
        <v>79</v>
      </c>
    </row>
    <row r="26" spans="1:2" s="4" customFormat="1">
      <c r="A26" s="7" t="s">
        <v>80</v>
      </c>
      <c r="B26" s="7" t="s">
        <v>81</v>
      </c>
    </row>
    <row r="27" spans="1:2" s="4" customFormat="1">
      <c r="A27" s="7" t="s">
        <v>82</v>
      </c>
      <c r="B27" s="10" t="s">
        <v>83</v>
      </c>
    </row>
    <row r="28" spans="1:2" s="4" customFormat="1">
      <c r="A28" s="7" t="s">
        <v>84</v>
      </c>
      <c r="B28" s="7" t="s">
        <v>85</v>
      </c>
    </row>
    <row r="29" spans="1:2" s="4" customFormat="1" ht="26.4">
      <c r="A29" s="7" t="s">
        <v>86</v>
      </c>
      <c r="B29" s="9" t="s">
        <v>87</v>
      </c>
    </row>
    <row r="30" spans="1:2" s="4" customFormat="1">
      <c r="A30" s="7" t="s">
        <v>88</v>
      </c>
      <c r="B30" s="7" t="s">
        <v>89</v>
      </c>
    </row>
    <row r="31" spans="1:2" s="4" customFormat="1">
      <c r="A31" s="7" t="s">
        <v>90</v>
      </c>
      <c r="B31" s="7" t="s">
        <v>91</v>
      </c>
    </row>
    <row r="32" spans="1:2" s="4" customFormat="1">
      <c r="A32" s="7" t="s">
        <v>92</v>
      </c>
      <c r="B32" s="7" t="s">
        <v>93</v>
      </c>
    </row>
    <row r="33" spans="1:2" s="4" customFormat="1">
      <c r="A33" s="7" t="s">
        <v>94</v>
      </c>
      <c r="B33" s="7" t="s">
        <v>95</v>
      </c>
    </row>
    <row r="34" spans="1:2" s="4" customFormat="1">
      <c r="A34" s="7" t="s">
        <v>96</v>
      </c>
      <c r="B34" s="7" t="s">
        <v>97</v>
      </c>
    </row>
    <row r="35" spans="1:2" s="4" customFormat="1">
      <c r="A35" s="7" t="s">
        <v>98</v>
      </c>
      <c r="B35" s="7" t="s">
        <v>99</v>
      </c>
    </row>
    <row r="36" spans="1:2" s="4" customFormat="1">
      <c r="A36" s="7" t="s">
        <v>100</v>
      </c>
      <c r="B36" s="7" t="s">
        <v>101</v>
      </c>
    </row>
    <row r="37" spans="1:2" s="4" customFormat="1">
      <c r="A37" s="7" t="s">
        <v>102</v>
      </c>
      <c r="B37" s="7" t="s">
        <v>103</v>
      </c>
    </row>
    <row r="38" spans="1:2" s="4" customFormat="1">
      <c r="A38" s="7" t="s">
        <v>104</v>
      </c>
      <c r="B38" s="7" t="s">
        <v>105</v>
      </c>
    </row>
    <row r="39" spans="1:2" s="4" customFormat="1">
      <c r="A39" s="7" t="s">
        <v>106</v>
      </c>
      <c r="B39" s="7" t="s">
        <v>107</v>
      </c>
    </row>
    <row r="40" spans="1:2" s="4" customFormat="1">
      <c r="A40" s="7" t="s">
        <v>108</v>
      </c>
      <c r="B40" s="7" t="s">
        <v>109</v>
      </c>
    </row>
    <row r="41" spans="1:2" s="4" customFormat="1">
      <c r="A41" s="7" t="s">
        <v>110</v>
      </c>
      <c r="B41" s="7" t="s">
        <v>111</v>
      </c>
    </row>
    <row r="42" spans="1:2" s="4" customFormat="1">
      <c r="A42" s="7" t="s">
        <v>112</v>
      </c>
      <c r="B42" s="7" t="s">
        <v>113</v>
      </c>
    </row>
    <row r="43" spans="1:2" s="4" customFormat="1">
      <c r="A43" s="7" t="s">
        <v>114</v>
      </c>
      <c r="B43" s="7" t="s">
        <v>115</v>
      </c>
    </row>
    <row r="44" spans="1:2" s="4" customFormat="1">
      <c r="A44" s="7" t="s">
        <v>116</v>
      </c>
      <c r="B44" s="7" t="s">
        <v>117</v>
      </c>
    </row>
    <row r="45" spans="1:2" s="4" customFormat="1">
      <c r="A45" s="7" t="s">
        <v>118</v>
      </c>
      <c r="B45" s="7" t="s">
        <v>119</v>
      </c>
    </row>
    <row r="46" spans="1:2" s="4" customFormat="1">
      <c r="A46" s="7" t="s">
        <v>120</v>
      </c>
      <c r="B46" s="7" t="s">
        <v>121</v>
      </c>
    </row>
    <row r="47" spans="1:2" s="4" customFormat="1">
      <c r="A47" s="7" t="s">
        <v>122</v>
      </c>
      <c r="B47" s="7" t="s">
        <v>123</v>
      </c>
    </row>
    <row r="48" spans="1:2" s="4" customFormat="1">
      <c r="A48" s="7" t="s">
        <v>124</v>
      </c>
      <c r="B48" s="7" t="s">
        <v>125</v>
      </c>
    </row>
    <row r="49" spans="1:2" s="4" customFormat="1">
      <c r="A49" s="26" t="s">
        <v>127</v>
      </c>
      <c r="B49" s="7" t="s">
        <v>128</v>
      </c>
    </row>
    <row r="50" spans="1:2">
      <c r="A50" s="4"/>
      <c r="B50" s="4"/>
    </row>
    <row r="51" spans="1:2">
      <c r="A51" s="4"/>
      <c r="B51" s="4"/>
    </row>
    <row r="52" spans="1:2" ht="15.6">
      <c r="A52" s="5" t="s">
        <v>27</v>
      </c>
      <c r="B52" s="6" t="str">
        <f>IFERROR(VLOOKUP(#REF!,A:B,2,FALSE),"")</f>
        <v/>
      </c>
    </row>
  </sheetData>
  <phoneticPr fontId="1" type="noConversion"/>
  <pageMargins left="0.7" right="0.7" top="0.75" bottom="0.75" header="0.3" footer="0.3"/>
  <customProperties>
    <customPr name="_pios_id" r:id="rId1"/>
  </customProperties>
</worksheet>
</file>

<file path=docMetadata/LabelInfo.xml><?xml version="1.0" encoding="utf-8"?>
<clbl:labelList xmlns:clbl="http://schemas.microsoft.com/office/2020/mipLabelMetadata">
  <clbl:label id="{bafec85b-e817-4277-86cb-66dc7d424280}" enabled="1" method="Standard" siteId="{aab2e961-1f45-4717-9a42-8f87802af9b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Basic</vt:lpstr>
      <vt:lpstr>Sheet3</vt:lpstr>
    </vt:vector>
  </TitlesOfParts>
  <Company>ipk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wrlee</dc:creator>
  <cp:lastModifiedBy>JiYoung Park</cp:lastModifiedBy>
  <cp:lastPrinted>2021-08-20T08:13:43Z</cp:lastPrinted>
  <dcterms:created xsi:type="dcterms:W3CDTF">2002-04-11T02:24:07Z</dcterms:created>
  <dcterms:modified xsi:type="dcterms:W3CDTF">2025-04-01T03:46:00Z</dcterms:modified>
</cp:coreProperties>
</file>